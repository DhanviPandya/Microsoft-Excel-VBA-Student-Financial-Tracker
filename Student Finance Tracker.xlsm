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3.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202300"/>
  <mc:AlternateContent xmlns:mc="http://schemas.openxmlformats.org/markup-compatibility/2006">
    <mc:Choice Requires="x15">
      <x15ac:absPath xmlns:x15ac="http://schemas.microsoft.com/office/spreadsheetml/2010/11/ac" url="https://uofwaterloo-my.sharepoint.com/personal/d9pandya_uwaterloo_ca/Documents/1A/MSE 100/Indiviual Project/"/>
    </mc:Choice>
  </mc:AlternateContent>
  <xr:revisionPtr revIDLastSave="178" documentId="8_{61E42D1C-E634-4D98-9A8B-BFC725A116BB}" xr6:coauthVersionLast="47" xr6:coauthVersionMax="47" xr10:uidLastSave="{A5BCB341-3179-46A6-8573-CBD8D593C896}"/>
  <bookViews>
    <workbookView xWindow="-98" yWindow="-98" windowWidth="21795" windowHeight="12975" activeTab="4" xr2:uid="{84C40A5E-BA86-445F-A09D-B84B5D052F76}"/>
  </bookViews>
  <sheets>
    <sheet name="VLOOK UP VALUES" sheetId="8" r:id="rId1"/>
    <sheet name="Goals" sheetId="1" r:id="rId2"/>
    <sheet name="MonthlyInput1" sheetId="11" r:id="rId3"/>
    <sheet name="MonthlyInput2" sheetId="5" r:id="rId4"/>
    <sheet name="Dashboard" sheetId="13" r:id="rId5"/>
  </sheets>
  <definedNames>
    <definedName name="_xleta.IF" hidden="1" xlm="1">#NAME?</definedName>
    <definedName name="_xleta.SUM" hidden="1" xlm="1">#NAME?</definedName>
    <definedName name="Slicer_Month">#N/A</definedName>
  </definedNames>
  <calcPr calcId="191029"/>
  <pivotCaches>
    <pivotCache cacheId="0" r:id="rId6"/>
  </pivotCaches>
  <extLst>
    <ext xmlns:x14="http://schemas.microsoft.com/office/spreadsheetml/2009/9/main" uri="{876F7934-8845-4945-9796-88D515C7AA90}">
      <x14:pivotCaches>
        <pivotCache cacheId="1" r:id="rId7"/>
      </x14:pivotCaches>
    </ex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 i="11" l="1"/>
  <c r="D16" i="11"/>
  <c r="D15" i="11"/>
  <c r="D14" i="11"/>
  <c r="D13" i="11"/>
  <c r="D12" i="11"/>
  <c r="D11" i="11"/>
  <c r="D10" i="11"/>
  <c r="D9" i="11"/>
  <c r="D8" i="11"/>
  <c r="D7" i="11"/>
  <c r="D6" i="11"/>
  <c r="D5" i="11"/>
  <c r="D4" i="11"/>
  <c r="D3" i="11"/>
  <c r="D2" i="11"/>
</calcChain>
</file>

<file path=xl/sharedStrings.xml><?xml version="1.0" encoding="utf-8"?>
<sst xmlns="http://schemas.openxmlformats.org/spreadsheetml/2006/main" count="142" uniqueCount="66">
  <si>
    <t>Months to Pay off Dept</t>
  </si>
  <si>
    <t xml:space="preserve">Savings Amount </t>
  </si>
  <si>
    <t>Months to reach Savings goal</t>
  </si>
  <si>
    <t>Investment amount</t>
  </si>
  <si>
    <t>Months to reach investmnet goals</t>
  </si>
  <si>
    <t>Monthly Savings Amount</t>
  </si>
  <si>
    <t>Monthly Investment Amount</t>
  </si>
  <si>
    <t xml:space="preserve">Grants and Loans </t>
  </si>
  <si>
    <t xml:space="preserve">Salary </t>
  </si>
  <si>
    <t>Income</t>
  </si>
  <si>
    <t>Month</t>
  </si>
  <si>
    <t>Living Expense</t>
  </si>
  <si>
    <t>Food Expense</t>
  </si>
  <si>
    <t xml:space="preserve">Hydro/Utilities </t>
  </si>
  <si>
    <t xml:space="preserve">Other Expenses </t>
  </si>
  <si>
    <t>Miscellencous expenses</t>
  </si>
  <si>
    <t>Dept goal</t>
  </si>
  <si>
    <t>Savings goal</t>
  </si>
  <si>
    <t>Investment Goal</t>
  </si>
  <si>
    <t xml:space="preserve">Debt Amount </t>
  </si>
  <si>
    <t>Type</t>
  </si>
  <si>
    <t>Category</t>
  </si>
  <si>
    <t>Expense</t>
  </si>
  <si>
    <t>Goal</t>
  </si>
  <si>
    <t>Monthly Debt Payment</t>
  </si>
  <si>
    <t>Salary</t>
  </si>
  <si>
    <t>Grants And Loans</t>
  </si>
  <si>
    <t>Hydro/Utilities</t>
  </si>
  <si>
    <t>Other Expenses</t>
  </si>
  <si>
    <t xml:space="preserve">Amount </t>
  </si>
  <si>
    <t>Total Debt</t>
  </si>
  <si>
    <t>Miscellaneous Expenses</t>
  </si>
  <si>
    <t xml:space="preserve">Month Start </t>
  </si>
  <si>
    <t xml:space="preserve">Month </t>
  </si>
  <si>
    <t xml:space="preserve">Total Savings </t>
  </si>
  <si>
    <t xml:space="preserve">Total Investment </t>
  </si>
  <si>
    <t>Expenses</t>
  </si>
  <si>
    <t>Total Income</t>
  </si>
  <si>
    <t>Total Expenses</t>
  </si>
  <si>
    <t>Row Labels</t>
  </si>
  <si>
    <t>Grand Total</t>
  </si>
  <si>
    <t>Sum of Total Income</t>
  </si>
  <si>
    <t>Values</t>
  </si>
  <si>
    <t>Sum of Total Expenses</t>
  </si>
  <si>
    <t xml:space="preserve">Financial Planning Tool </t>
  </si>
  <si>
    <t>Control Panel</t>
  </si>
  <si>
    <t>Income and Expenses Charts</t>
  </si>
  <si>
    <t>Debt Amount</t>
  </si>
  <si>
    <t>Debt Contribution</t>
  </si>
  <si>
    <t>Savings Goal</t>
  </si>
  <si>
    <t>Current Savings</t>
  </si>
  <si>
    <t>Monthly Contribution</t>
  </si>
  <si>
    <t>Current Invested</t>
  </si>
  <si>
    <t>Financial Advice</t>
  </si>
  <si>
    <t>Debt Repayment Advice</t>
  </si>
  <si>
    <t>Savings Plan Advice</t>
  </si>
  <si>
    <t>Investment Plan Advice</t>
  </si>
  <si>
    <t>Subcategory</t>
  </si>
  <si>
    <t>Amount</t>
  </si>
  <si>
    <t>Debt Repayment</t>
  </si>
  <si>
    <t>Monthly Savings</t>
  </si>
  <si>
    <t>Monthly Investment</t>
  </si>
  <si>
    <t>Remaining Budget</t>
  </si>
  <si>
    <t>You are on track with your debt repayment plan!_x000D_
This month you paid $75 extra!</t>
  </si>
  <si>
    <t>You are NOT on track with your Savings Plan_x000D_
You are advised to allocate $233.33 more into your payment next month to get back on track.</t>
  </si>
  <si>
    <t>You are NOT on track with your Investment Plan_x000D_
You are advised to allocate $750 more into your payment next month to get back on track.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</si>
</sst>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8" formatCode="&quot;$&quot;#,##0.00;[Red]\-&quot;$&quot;#,##0.00"/>
    <numFmt numFmtId="164" formatCode="mm\-yyyy"/>
  </numFmts>
  <fonts count="11" x14ac:knownFonts="1">
    <font>
      <sz val="11"/>
      <color theme="1"/>
      <name val="Aptos Narrow"/>
      <family val="2"/>
      <scheme val="minor"/>
    </font>
    <font>
      <sz val="11"/>
      <color rgb="FF000000"/>
      <name val="Aptos Narrow"/>
      <family val="2"/>
    </font>
    <font>
      <b/>
      <sz val="11"/>
      <color theme="1"/>
      <name val="Aptos Narrow"/>
      <family val="2"/>
      <scheme val="minor"/>
    </font>
    <font>
      <sz val="8"/>
      <name val="Aptos Narrow"/>
      <family val="2"/>
      <scheme val="minor"/>
    </font>
    <font>
      <b/>
      <sz val="20"/>
      <color rgb="FFFFFFFF"/>
      <name val="Aptos Narrow"/>
      <family val="2"/>
      <scheme val="minor"/>
    </font>
    <font>
      <b/>
      <sz val="17"/>
      <color rgb="FFFFFFFF"/>
      <name val="Aptos Narrow"/>
      <family val="2"/>
      <scheme val="minor"/>
    </font>
    <font>
      <sz val="30"/>
      <color rgb="FFFFFFFF"/>
      <name val="Aptos Narrow"/>
      <family val="2"/>
      <scheme val="minor"/>
    </font>
    <font>
      <sz val="20"/>
      <color rgb="FF000000"/>
      <name val="Aptos Narrow"/>
      <family val="2"/>
    </font>
    <font>
      <sz val="18"/>
      <color theme="1"/>
      <name val="Aptos Narrow"/>
      <family val="2"/>
      <scheme val="minor"/>
    </font>
    <font>
      <sz val="16"/>
      <color theme="1"/>
      <name val="Aptos Narrow"/>
      <family val="2"/>
      <scheme val="minor"/>
    </font>
    <font>
      <b/>
      <sz val="16"/>
      <color theme="1"/>
      <name val="Aptos Narrow"/>
      <family val="2"/>
      <scheme val="minor"/>
    </font>
  </fonts>
  <fills count="11">
    <fill>
      <patternFill patternType="none"/>
    </fill>
    <fill>
      <patternFill patternType="gray125"/>
    </fill>
    <fill>
      <patternFill patternType="solid">
        <fgColor theme="7" tint="0.79998168889431442"/>
        <bgColor theme="7" tint="0.79998168889431442"/>
      </patternFill>
    </fill>
    <fill>
      <patternFill patternType="solid">
        <fgColor rgb="FFCC99FF"/>
        <bgColor indexed="64"/>
      </patternFill>
    </fill>
    <fill>
      <patternFill patternType="solid">
        <fgColor rgb="FFD6B7FF"/>
        <bgColor indexed="64"/>
      </patternFill>
    </fill>
    <fill>
      <patternFill patternType="solid">
        <fgColor rgb="FFE6E6FA"/>
        <bgColor indexed="64"/>
      </patternFill>
    </fill>
    <fill>
      <patternFill patternType="solid">
        <fgColor rgb="FFB2B2FF"/>
        <bgColor indexed="64"/>
      </patternFill>
    </fill>
    <fill>
      <patternFill patternType="solid">
        <fgColor rgb="FFDFF2FF"/>
        <bgColor indexed="64"/>
      </patternFill>
    </fill>
    <fill>
      <patternFill patternType="solid">
        <fgColor rgb="FFB2D4E5"/>
        <bgColor indexed="64"/>
      </patternFill>
    </fill>
    <fill>
      <patternFill patternType="solid">
        <fgColor rgb="FF000080"/>
        <bgColor indexed="64"/>
      </patternFill>
    </fill>
    <fill>
      <patternFill patternType="solid">
        <fgColor rgb="FFC8C8FF"/>
        <bgColor indexed="64"/>
      </patternFill>
    </fill>
  </fills>
  <borders count="5">
    <border>
      <left/>
      <right/>
      <top/>
      <bottom/>
      <diagonal/>
    </border>
    <border>
      <left style="thin">
        <color theme="7"/>
      </left>
      <right style="thin">
        <color theme="7"/>
      </right>
      <top style="thin">
        <color theme="7"/>
      </top>
      <bottom style="thin">
        <color theme="7"/>
      </bottom>
      <diagonal/>
    </border>
    <border>
      <left style="thin">
        <color theme="7"/>
      </left>
      <right style="thin">
        <color theme="7"/>
      </right>
      <top style="thin">
        <color theme="7"/>
      </top>
      <bottom style="medium">
        <color theme="7"/>
      </bottom>
      <diagonal/>
    </border>
    <border>
      <left style="thin">
        <color theme="7"/>
      </left>
      <right style="thin">
        <color theme="7"/>
      </right>
      <top/>
      <bottom style="medium">
        <color theme="7"/>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0" fillId="2" borderId="1" xfId="0" applyFill="1" applyBorder="1"/>
    <xf numFmtId="0" fontId="0" fillId="0" borderId="1" xfId="0" applyBorder="1"/>
    <xf numFmtId="0" fontId="2" fillId="0" borderId="3" xfId="0" applyFont="1" applyBorder="1"/>
    <xf numFmtId="17" fontId="0" fillId="0" borderId="0" xfId="0" applyNumberFormat="1"/>
    <xf numFmtId="14" fontId="0" fillId="0" borderId="0" xfId="0" applyNumberFormat="1"/>
    <xf numFmtId="0" fontId="0" fillId="0" borderId="2" xfId="0" applyBorder="1"/>
    <xf numFmtId="17" fontId="0" fillId="0" borderId="2" xfId="0" applyNumberFormat="1" applyBorder="1"/>
    <xf numFmtId="164" fontId="0" fillId="0" borderId="0" xfId="0" applyNumberFormat="1"/>
    <xf numFmtId="0" fontId="0" fillId="0" borderId="0" xfId="0" pivotButton="1"/>
    <xf numFmtId="3" fontId="0" fillId="0" borderId="0" xfId="0" applyNumberFormat="1"/>
    <xf numFmtId="0" fontId="0" fillId="7" borderId="0" xfId="0" applyFill="1"/>
    <xf numFmtId="164" fontId="0" fillId="0" borderId="0" xfId="0" applyNumberFormat="1" applyAlignment="1">
      <alignment horizontal="left"/>
    </xf>
    <xf numFmtId="0" fontId="9" fillId="5" borderId="4" xfId="0" applyFont="1" applyFill="1" applyBorder="1"/>
    <xf numFmtId="0" fontId="10" fillId="10" borderId="4" xfId="0" applyFont="1" applyFill="1" applyBorder="1"/>
    <xf numFmtId="0" fontId="8" fillId="5" borderId="0" xfId="0" applyFont="1" applyFill="1"/>
    <xf numFmtId="6" fontId="6" fillId="8" borderId="0" xfId="0" applyNumberFormat="1" applyFont="1" applyFill="1" applyAlignment="1">
      <alignment horizontal="center" vertical="center"/>
    </xf>
    <xf numFmtId="0" fontId="4" fillId="3" borderId="0" xfId="0" applyFont="1" applyFill="1" applyAlignment="1">
      <alignment horizontal="center" vertical="center"/>
    </xf>
    <xf numFmtId="0" fontId="8" fillId="5" borderId="0" xfId="0" applyFont="1" applyFill="1" applyAlignment="1">
      <alignment horizontal="center" vertical="center" wrapText="1"/>
    </xf>
    <xf numFmtId="0" fontId="4" fillId="6" borderId="0" xfId="0" applyFont="1" applyFill="1" applyAlignment="1">
      <alignment horizontal="center" vertical="center"/>
    </xf>
    <xf numFmtId="0" fontId="4" fillId="9" borderId="0" xfId="0" applyFont="1" applyFill="1" applyAlignment="1">
      <alignment horizontal="center" vertical="center"/>
    </xf>
    <xf numFmtId="0" fontId="5" fillId="9" borderId="0" xfId="0" applyFont="1" applyFill="1" applyAlignment="1">
      <alignment horizontal="center" vertical="center"/>
    </xf>
    <xf numFmtId="0" fontId="4" fillId="4" borderId="0" xfId="0" applyFont="1" applyFill="1" applyAlignment="1">
      <alignment horizontal="center" vertical="center"/>
    </xf>
    <xf numFmtId="8" fontId="6" fillId="8" borderId="0" xfId="0" applyNumberFormat="1" applyFont="1" applyFill="1" applyAlignment="1">
      <alignment horizontal="center" vertical="center"/>
    </xf>
  </cellXfs>
  <cellStyles count="1">
    <cellStyle name="Normal" xfId="0" builtinId="0"/>
  </cellStyles>
  <dxfs count="6">
    <dxf>
      <numFmt numFmtId="164" formatCode="mm\-yyyy"/>
    </dxf>
    <dxf>
      <numFmt numFmtId="0" formatCode="General"/>
    </dxf>
    <dxf>
      <border outline="0">
        <top style="thin">
          <color theme="7"/>
        </top>
      </border>
    </dxf>
    <dxf>
      <border outline="0">
        <bottom style="medium">
          <color theme="7"/>
        </bottom>
      </border>
    </dxf>
    <dxf>
      <font>
        <b/>
        <i val="0"/>
        <strike val="0"/>
        <condense val="0"/>
        <extend val="0"/>
        <outline val="0"/>
        <shadow val="0"/>
        <u val="none"/>
        <vertAlign val="baseline"/>
        <sz val="11"/>
        <color theme="1"/>
        <name val="Aptos Narrow"/>
        <family val="2"/>
        <scheme val="minor"/>
      </font>
      <border diagonalUp="0" diagonalDown="0" outline="0">
        <left style="thin">
          <color theme="7"/>
        </left>
        <right style="thin">
          <color theme="7"/>
        </right>
        <top/>
        <bottom/>
      </border>
    </dxf>
    <dxf>
      <numFmt numFmtId="19" formatCode="yyyy/mm/d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[d9pandya_milestone4_FinalTool.xlsm]MonthlyInput2!PivotTable5</c:name>
    <c:fmtId val="0"/>
  </c:pivotSource>
  <c:chart>
    <c:autoTitleDeleted val="0"/>
    <c:pivotFmts>
      <c:pivotFmt>
        <c:idx val="0"/>
        <c:spPr>
          <a:solidFill>
            <a:srgbClr val="ADD8E6"/>
          </a:solidFill>
        </c:spPr>
        <c:marker>
          <c:symbol val="none"/>
        </c:marker>
        <c:dLbl>
          <c:idx val="0"/>
          <c:delete val="1"/>
          <c:extLst>
            <c:ext xmlns:c15="http://schemas.microsoft.com/office/drawing/2012/chart" uri="{CE6537A1-D6FC-4f65-9D91-7224C49458BB}"/>
          </c:extLst>
        </c:dLbl>
      </c:pivotFmt>
      <c:pivotFmt>
        <c:idx val="1"/>
        <c:spPr>
          <a:solidFill>
            <a:srgbClr val="FFD1DC"/>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MonthlyInput2!$AA$1:$AA$2</c:f>
              <c:strCache>
                <c:ptCount val="1"/>
                <c:pt idx="0">
                  <c:v>Sum of Total Income</c:v>
                </c:pt>
              </c:strCache>
            </c:strRef>
          </c:tx>
          <c:spPr>
            <a:solidFill>
              <a:srgbClr val="ADD8E6"/>
            </a:solidFill>
          </c:spPr>
          <c:invertIfNegative val="0"/>
          <c:cat>
            <c:strRef>
              <c:f>MonthlyInput2!$Z$3:$Z$4</c:f>
              <c:strCache>
                <c:ptCount val="1"/>
                <c:pt idx="0">
                  <c:v>11-2024</c:v>
                </c:pt>
              </c:strCache>
            </c:strRef>
          </c:cat>
          <c:val>
            <c:numRef>
              <c:f>MonthlyInput2!$AA$3:$AA$4</c:f>
              <c:numCache>
                <c:formatCode>#,##0</c:formatCode>
                <c:ptCount val="1"/>
                <c:pt idx="0">
                  <c:v>4250</c:v>
                </c:pt>
              </c:numCache>
            </c:numRef>
          </c:val>
          <c:extLst>
            <c:ext xmlns:c16="http://schemas.microsoft.com/office/drawing/2014/chart" uri="{C3380CC4-5D6E-409C-BE32-E72D297353CC}">
              <c16:uniqueId val="{00000000-B33F-4253-8AE2-39D7197CC9E9}"/>
            </c:ext>
          </c:extLst>
        </c:ser>
        <c:ser>
          <c:idx val="1"/>
          <c:order val="1"/>
          <c:tx>
            <c:strRef>
              <c:f>MonthlyInput2!$AB$1:$AB$2</c:f>
              <c:strCache>
                <c:ptCount val="1"/>
                <c:pt idx="0">
                  <c:v>Sum of Total Expenses</c:v>
                </c:pt>
              </c:strCache>
            </c:strRef>
          </c:tx>
          <c:spPr>
            <a:solidFill>
              <a:srgbClr val="FFD1DC"/>
            </a:solidFill>
          </c:spPr>
          <c:invertIfNegative val="0"/>
          <c:cat>
            <c:strRef>
              <c:f>MonthlyInput2!$Z$3:$Z$4</c:f>
              <c:strCache>
                <c:ptCount val="1"/>
                <c:pt idx="0">
                  <c:v>11-2024</c:v>
                </c:pt>
              </c:strCache>
            </c:strRef>
          </c:cat>
          <c:val>
            <c:numRef>
              <c:f>MonthlyInput2!$AB$3:$AB$4</c:f>
              <c:numCache>
                <c:formatCode>#,##0</c:formatCode>
                <c:ptCount val="1"/>
                <c:pt idx="0">
                  <c:v>2450</c:v>
                </c:pt>
              </c:numCache>
            </c:numRef>
          </c:val>
          <c:extLst>
            <c:ext xmlns:c16="http://schemas.microsoft.com/office/drawing/2014/chart" uri="{C3380CC4-5D6E-409C-BE32-E72D297353CC}">
              <c16:uniqueId val="{00000001-B33F-4253-8AE2-39D7197CC9E9}"/>
            </c:ext>
          </c:extLst>
        </c:ser>
        <c:dLbls>
          <c:showLegendKey val="0"/>
          <c:showVal val="0"/>
          <c:showCatName val="0"/>
          <c:showSerName val="0"/>
          <c:showPercent val="0"/>
          <c:showBubbleSize val="0"/>
        </c:dLbls>
        <c:gapWidth val="150"/>
        <c:axId val="841029184"/>
        <c:axId val="841020064"/>
      </c:barChart>
      <c:catAx>
        <c:axId val="841029184"/>
        <c:scaling>
          <c:orientation val="minMax"/>
        </c:scaling>
        <c:delete val="0"/>
        <c:axPos val="b"/>
        <c:numFmt formatCode="General" sourceLinked="1"/>
        <c:majorTickMark val="out"/>
        <c:minorTickMark val="none"/>
        <c:tickLblPos val="nextTo"/>
        <c:crossAx val="841020064"/>
        <c:crosses val="autoZero"/>
        <c:auto val="1"/>
        <c:lblAlgn val="ctr"/>
        <c:lblOffset val="100"/>
        <c:noMultiLvlLbl val="0"/>
      </c:catAx>
      <c:valAx>
        <c:axId val="841020064"/>
        <c:scaling>
          <c:orientation val="minMax"/>
        </c:scaling>
        <c:delete val="0"/>
        <c:axPos val="l"/>
        <c:majorGridlines/>
        <c:numFmt formatCode="#,##0" sourceLinked="1"/>
        <c:majorTickMark val="out"/>
        <c:minorTickMark val="none"/>
        <c:tickLblPos val="nextTo"/>
        <c:crossAx val="8410291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Goal Progress: November 2024</a:t>
            </a:r>
          </a:p>
        </c:rich>
      </c:tx>
      <c:overlay val="0"/>
    </c:title>
    <c:autoTitleDeleted val="0"/>
    <c:plotArea>
      <c:layout/>
      <c:doughnutChart>
        <c:varyColors val="1"/>
        <c:ser>
          <c:idx val="0"/>
          <c:order val="0"/>
          <c:dPt>
            <c:idx val="0"/>
            <c:bubble3D val="0"/>
            <c:spPr>
              <a:solidFill>
                <a:srgbClr val="CC99FF"/>
              </a:solidFill>
            </c:spPr>
            <c:extLst>
              <c:ext xmlns:c16="http://schemas.microsoft.com/office/drawing/2014/chart" uri="{C3380CC4-5D6E-409C-BE32-E72D297353CC}">
                <c16:uniqueId val="{00000001-044B-4D66-9E36-C283044008C9}"/>
              </c:ext>
            </c:extLst>
          </c:dPt>
          <c:dPt>
            <c:idx val="1"/>
            <c:bubble3D val="0"/>
            <c:spPr>
              <a:solidFill>
                <a:srgbClr val="CCCCFF"/>
              </a:solidFill>
            </c:spPr>
            <c:extLst>
              <c:ext xmlns:c16="http://schemas.microsoft.com/office/drawing/2014/chart" uri="{C3380CC4-5D6E-409C-BE32-E72D297353CC}">
                <c16:uniqueId val="{00000002-044B-4D66-9E36-C283044008C9}"/>
              </c:ext>
            </c:extLst>
          </c:dPt>
          <c:dPt>
            <c:idx val="2"/>
            <c:bubble3D val="0"/>
            <c:spPr>
              <a:solidFill>
                <a:srgbClr val="8A2BE2"/>
              </a:solidFill>
            </c:spPr>
            <c:extLst>
              <c:ext xmlns:c16="http://schemas.microsoft.com/office/drawing/2014/chart" uri="{C3380CC4-5D6E-409C-BE32-E72D297353CC}">
                <c16:uniqueId val="{00000003-044B-4D66-9E36-C283044008C9}"/>
              </c:ext>
            </c:extLst>
          </c:dPt>
          <c:dLbls>
            <c:dLbl>
              <c:idx val="2"/>
              <c:spPr>
                <a:noFill/>
                <a:ln>
                  <a:noFill/>
                </a:ln>
                <a:effectLst/>
              </c:spPr>
              <c:txPr>
                <a:bodyPr wrap="square" lIns="38100" tIns="19050" rIns="38100" bIns="19050" anchor="ctr">
                  <a:spAutoFit/>
                </a:bodyPr>
                <a:lstStyle/>
                <a:p>
                  <a:pPr>
                    <a:defRPr sz="1200" b="1">
                      <a:solidFill>
                        <a:srgbClr val="FFFFFF"/>
                      </a:solidFill>
                    </a:defRPr>
                  </a:pPr>
                  <a:endParaRPr lang="en-US"/>
                </a:p>
              </c:txPr>
              <c:showLegendKey val="0"/>
              <c:showVal val="1"/>
              <c:showCatName val="0"/>
              <c:showSerName val="0"/>
              <c:showPercent val="0"/>
              <c:showBubbleSize val="0"/>
              <c:extLst>
                <c:ext xmlns:c16="http://schemas.microsoft.com/office/drawing/2014/chart" uri="{C3380CC4-5D6E-409C-BE32-E72D297353CC}">
                  <c16:uniqueId val="{00000003-044B-4D66-9E36-C283044008C9}"/>
                </c:ext>
              </c:extLst>
            </c:dLbl>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Lit>
              <c:ptCount val="3"/>
              <c:pt idx="0">
                <c:v>Debt Contribution</c:v>
              </c:pt>
              <c:pt idx="1">
                <c:v>Savings Contribution</c:v>
              </c:pt>
              <c:pt idx="2">
                <c:v>Investment Contribution</c:v>
              </c:pt>
            </c:strLit>
          </c:cat>
          <c:val>
            <c:numLit>
              <c:formatCode>General</c:formatCode>
              <c:ptCount val="3"/>
              <c:pt idx="0">
                <c:v>700</c:v>
              </c:pt>
              <c:pt idx="1">
                <c:v>600</c:v>
              </c:pt>
              <c:pt idx="2">
                <c:v>500</c:v>
              </c:pt>
            </c:numLit>
          </c:val>
          <c:extLst>
            <c:ext xmlns:c16="http://schemas.microsoft.com/office/drawing/2014/chart" uri="{C3380CC4-5D6E-409C-BE32-E72D297353CC}">
              <c16:uniqueId val="{00000000-044B-4D66-9E36-C283044008C9}"/>
            </c:ext>
          </c:extLst>
        </c:ser>
        <c:dLbls>
          <c:showLegendKey val="0"/>
          <c:showVal val="0"/>
          <c:showCatName val="0"/>
          <c:showSerName val="0"/>
          <c:showPercent val="0"/>
          <c:showBubbleSize val="0"/>
          <c:showLeaderLines val="0"/>
        </c:dLbls>
        <c:firstSliceAng val="0"/>
        <c:holeSize val="50"/>
      </c:doughnutChart>
    </c:plotArea>
    <c:legend>
      <c:legendPos val="b"/>
      <c:overlay val="0"/>
      <c:txPr>
        <a:bodyPr/>
        <a:lstStyle/>
        <a:p>
          <a:pPr>
            <a:defRPr sz="1200" b="1"/>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Expense Breakdown: November 2024</a:t>
            </a:r>
          </a:p>
        </c:rich>
      </c:tx>
      <c:overlay val="0"/>
    </c:title>
    <c:autoTitleDeleted val="0"/>
    <c:plotArea>
      <c:layout/>
      <c:doughnutChart>
        <c:varyColors val="1"/>
        <c:ser>
          <c:idx val="0"/>
          <c:order val="0"/>
          <c:dPt>
            <c:idx val="0"/>
            <c:bubble3D val="0"/>
            <c:spPr>
              <a:solidFill>
                <a:srgbClr val="FFB6C1"/>
              </a:solidFill>
            </c:spPr>
            <c:extLst>
              <c:ext xmlns:c16="http://schemas.microsoft.com/office/drawing/2014/chart" uri="{C3380CC4-5D6E-409C-BE32-E72D297353CC}">
                <c16:uniqueId val="{00000001-28C1-4F33-8B14-DEBAFAECC58C}"/>
              </c:ext>
            </c:extLst>
          </c:dPt>
          <c:dPt>
            <c:idx val="1"/>
            <c:bubble3D val="0"/>
            <c:spPr>
              <a:solidFill>
                <a:srgbClr val="FF69B4"/>
              </a:solidFill>
            </c:spPr>
            <c:extLst>
              <c:ext xmlns:c16="http://schemas.microsoft.com/office/drawing/2014/chart" uri="{C3380CC4-5D6E-409C-BE32-E72D297353CC}">
                <c16:uniqueId val="{00000002-28C1-4F33-8B14-DEBAFAECC58C}"/>
              </c:ext>
            </c:extLst>
          </c:dPt>
          <c:dPt>
            <c:idx val="2"/>
            <c:bubble3D val="0"/>
            <c:spPr>
              <a:solidFill>
                <a:srgbClr val="DA70D6"/>
              </a:solidFill>
            </c:spPr>
            <c:extLst>
              <c:ext xmlns:c16="http://schemas.microsoft.com/office/drawing/2014/chart" uri="{C3380CC4-5D6E-409C-BE32-E72D297353CC}">
                <c16:uniqueId val="{00000003-28C1-4F33-8B14-DEBAFAECC58C}"/>
              </c:ext>
            </c:extLst>
          </c:dPt>
          <c:dPt>
            <c:idx val="3"/>
            <c:bubble3D val="0"/>
            <c:spPr>
              <a:solidFill>
                <a:srgbClr val="9370DB"/>
              </a:solidFill>
            </c:spPr>
            <c:extLst>
              <c:ext xmlns:c16="http://schemas.microsoft.com/office/drawing/2014/chart" uri="{C3380CC4-5D6E-409C-BE32-E72D297353CC}">
                <c16:uniqueId val="{00000004-28C1-4F33-8B14-DEBAFAECC58C}"/>
              </c:ext>
            </c:extLst>
          </c:dPt>
          <c:dPt>
            <c:idx val="4"/>
            <c:bubble3D val="0"/>
            <c:spPr>
              <a:solidFill>
                <a:srgbClr val="9932CC"/>
              </a:solidFill>
            </c:spPr>
            <c:extLst>
              <c:ext xmlns:c16="http://schemas.microsoft.com/office/drawing/2014/chart" uri="{C3380CC4-5D6E-409C-BE32-E72D297353CC}">
                <c16:uniqueId val="{00000005-28C1-4F33-8B14-DEBAFAECC58C}"/>
              </c:ext>
            </c:extLst>
          </c:dPt>
          <c:dLbls>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Lit>
              <c:ptCount val="5"/>
              <c:pt idx="0">
                <c:v>Living Expense</c:v>
              </c:pt>
              <c:pt idx="1">
                <c:v>Food Expense</c:v>
              </c:pt>
              <c:pt idx="2">
                <c:v>Hydro/Utilities</c:v>
              </c:pt>
              <c:pt idx="3">
                <c:v>Other Expenses</c:v>
              </c:pt>
              <c:pt idx="4">
                <c:v>Miscellaneous Expenses</c:v>
              </c:pt>
            </c:strLit>
          </c:cat>
          <c:val>
            <c:numLit>
              <c:formatCode>General</c:formatCode>
              <c:ptCount val="5"/>
              <c:pt idx="0">
                <c:v>1250</c:v>
              </c:pt>
              <c:pt idx="1">
                <c:v>450</c:v>
              </c:pt>
              <c:pt idx="2">
                <c:v>200</c:v>
              </c:pt>
              <c:pt idx="3">
                <c:v>50</c:v>
              </c:pt>
              <c:pt idx="4">
                <c:v>500</c:v>
              </c:pt>
            </c:numLit>
          </c:val>
          <c:extLst>
            <c:ext xmlns:c16="http://schemas.microsoft.com/office/drawing/2014/chart" uri="{C3380CC4-5D6E-409C-BE32-E72D297353CC}">
              <c16:uniqueId val="{00000000-28C1-4F33-8B14-DEBAFAECC58C}"/>
            </c:ext>
          </c:extLst>
        </c:ser>
        <c:dLbls>
          <c:showLegendKey val="0"/>
          <c:showVal val="0"/>
          <c:showCatName val="0"/>
          <c:showSerName val="0"/>
          <c:showPercent val="0"/>
          <c:showBubbleSize val="0"/>
          <c:showLeaderLines val="0"/>
        </c:dLbls>
        <c:firstSliceAng val="0"/>
        <c:holeSize val="50"/>
      </c:doughnutChart>
    </c:plotArea>
    <c:legend>
      <c:legendPos val="b"/>
      <c:overlay val="0"/>
      <c:txPr>
        <a:bodyPr/>
        <a:lstStyle/>
        <a:p>
          <a:pPr>
            <a:defRPr sz="1200" b="1"/>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Income Breakdown: November 2024</a:t>
            </a:r>
          </a:p>
        </c:rich>
      </c:tx>
      <c:overlay val="0"/>
    </c:title>
    <c:autoTitleDeleted val="0"/>
    <c:plotArea>
      <c:layout/>
      <c:doughnutChart>
        <c:varyColors val="1"/>
        <c:ser>
          <c:idx val="0"/>
          <c:order val="0"/>
          <c:dPt>
            <c:idx val="0"/>
            <c:bubble3D val="0"/>
            <c:spPr>
              <a:solidFill>
                <a:srgbClr val="87CEEB"/>
              </a:solidFill>
            </c:spPr>
            <c:extLst>
              <c:ext xmlns:c16="http://schemas.microsoft.com/office/drawing/2014/chart" uri="{C3380CC4-5D6E-409C-BE32-E72D297353CC}">
                <c16:uniqueId val="{00000001-12B3-4739-BFED-F66C02092440}"/>
              </c:ext>
            </c:extLst>
          </c:dPt>
          <c:dPt>
            <c:idx val="1"/>
            <c:bubble3D val="0"/>
            <c:spPr>
              <a:solidFill>
                <a:srgbClr val="000080"/>
              </a:solidFill>
            </c:spPr>
            <c:extLst>
              <c:ext xmlns:c16="http://schemas.microsoft.com/office/drawing/2014/chart" uri="{C3380CC4-5D6E-409C-BE32-E72D297353CC}">
                <c16:uniqueId val="{00000002-12B3-4739-BFED-F66C02092440}"/>
              </c:ext>
            </c:extLst>
          </c:dPt>
          <c:dPt>
            <c:idx val="2"/>
            <c:bubble3D val="0"/>
            <c:spPr>
              <a:solidFill>
                <a:srgbClr val="008080"/>
              </a:solidFill>
            </c:spPr>
            <c:extLst>
              <c:ext xmlns:c16="http://schemas.microsoft.com/office/drawing/2014/chart" uri="{C3380CC4-5D6E-409C-BE32-E72D297353CC}">
                <c16:uniqueId val="{00000003-12B3-4739-BFED-F66C02092440}"/>
              </c:ext>
            </c:extLst>
          </c:dPt>
          <c:dLbls>
            <c:dLbl>
              <c:idx val="1"/>
              <c:spPr>
                <a:noFill/>
                <a:ln>
                  <a:noFill/>
                </a:ln>
                <a:effectLst/>
              </c:spPr>
              <c:txPr>
                <a:bodyPr wrap="square" lIns="38100" tIns="19050" rIns="38100" bIns="19050" anchor="ctr">
                  <a:spAutoFit/>
                </a:bodyPr>
                <a:lstStyle/>
                <a:p>
                  <a:pPr>
                    <a:defRPr sz="1200" b="1">
                      <a:solidFill>
                        <a:srgbClr val="FFFFFF"/>
                      </a:solidFill>
                    </a:defRPr>
                  </a:pPr>
                  <a:endParaRPr lang="en-US"/>
                </a:p>
              </c:txPr>
              <c:showLegendKey val="0"/>
              <c:showVal val="1"/>
              <c:showCatName val="0"/>
              <c:showSerName val="0"/>
              <c:showPercent val="0"/>
              <c:showBubbleSize val="0"/>
              <c:extLst>
                <c:ext xmlns:c16="http://schemas.microsoft.com/office/drawing/2014/chart" uri="{C3380CC4-5D6E-409C-BE32-E72D297353CC}">
                  <c16:uniqueId val="{00000002-12B3-4739-BFED-F66C02092440}"/>
                </c:ext>
              </c:extLst>
            </c:dLbl>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Lit>
              <c:ptCount val="3"/>
              <c:pt idx="0">
                <c:v>Grants and Loans</c:v>
              </c:pt>
              <c:pt idx="1">
                <c:v>Salary</c:v>
              </c:pt>
              <c:pt idx="2">
                <c:v>Other Income</c:v>
              </c:pt>
            </c:strLit>
          </c:cat>
          <c:val>
            <c:numLit>
              <c:formatCode>General</c:formatCode>
              <c:ptCount val="3"/>
              <c:pt idx="0">
                <c:v>2000</c:v>
              </c:pt>
              <c:pt idx="1">
                <c:v>1750</c:v>
              </c:pt>
              <c:pt idx="2">
                <c:v>500</c:v>
              </c:pt>
            </c:numLit>
          </c:val>
          <c:extLst>
            <c:ext xmlns:c16="http://schemas.microsoft.com/office/drawing/2014/chart" uri="{C3380CC4-5D6E-409C-BE32-E72D297353CC}">
              <c16:uniqueId val="{00000000-12B3-4739-BFED-F66C02092440}"/>
            </c:ext>
          </c:extLst>
        </c:ser>
        <c:dLbls>
          <c:showLegendKey val="0"/>
          <c:showVal val="0"/>
          <c:showCatName val="0"/>
          <c:showSerName val="0"/>
          <c:showPercent val="0"/>
          <c:showBubbleSize val="0"/>
          <c:showLeaderLines val="0"/>
        </c:dLbls>
        <c:firstSliceAng val="0"/>
        <c:holeSize val="50"/>
      </c:doughnutChart>
    </c:plotArea>
    <c:legend>
      <c:legendPos val="b"/>
      <c:overlay val="0"/>
      <c:txPr>
        <a:bodyPr/>
        <a:lstStyle/>
        <a:p>
          <a:pPr>
            <a:defRPr sz="1200" b="1"/>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Monthly Budget Plan</a:t>
            </a:r>
          </a:p>
        </c:rich>
      </c:tx>
      <c:overlay val="0"/>
    </c:title>
    <c:autoTitleDeleted val="0"/>
    <c:plotArea>
      <c:layout/>
      <c:barChart>
        <c:barDir val="col"/>
        <c:grouping val="clustered"/>
        <c:varyColors val="0"/>
        <c:ser>
          <c:idx val="0"/>
          <c:order val="0"/>
          <c:spPr>
            <a:solidFill>
              <a:srgbClr val="E6E6FA"/>
            </a:solidFill>
          </c:spPr>
          <c:invertIfNegative val="0"/>
          <c:cat>
            <c:strRef>
              <c:f>Dashboard!$E$3:$E$15</c:f>
              <c:strCache>
                <c:ptCount val="13"/>
                <c:pt idx="0">
                  <c:v>Income</c:v>
                </c:pt>
                <c:pt idx="1">
                  <c:v>Grants And Loans</c:v>
                </c:pt>
                <c:pt idx="2">
                  <c:v>Salary</c:v>
                </c:pt>
                <c:pt idx="3">
                  <c:v>Income</c:v>
                </c:pt>
                <c:pt idx="4">
                  <c:v>Expenses</c:v>
                </c:pt>
                <c:pt idx="5">
                  <c:v>Living Expense</c:v>
                </c:pt>
                <c:pt idx="6">
                  <c:v>Food Expense</c:v>
                </c:pt>
                <c:pt idx="7">
                  <c:v>Hydro/Utilities</c:v>
                </c:pt>
                <c:pt idx="8">
                  <c:v>Other Expenses</c:v>
                </c:pt>
                <c:pt idx="9">
                  <c:v>Miscellaneous Expenses</c:v>
                </c:pt>
                <c:pt idx="10">
                  <c:v>Debt Repayment</c:v>
                </c:pt>
                <c:pt idx="11">
                  <c:v>Monthly Savings</c:v>
                </c:pt>
                <c:pt idx="12">
                  <c:v>Monthly Investment</c:v>
                </c:pt>
              </c:strCache>
            </c:strRef>
          </c:cat>
          <c:val>
            <c:numRef>
              <c:f>Dashboard!$F$3:$F$15</c:f>
              <c:numCache>
                <c:formatCode>General</c:formatCode>
                <c:ptCount val="13"/>
                <c:pt idx="1">
                  <c:v>0</c:v>
                </c:pt>
                <c:pt idx="2">
                  <c:v>0</c:v>
                </c:pt>
                <c:pt idx="3">
                  <c:v>0</c:v>
                </c:pt>
                <c:pt idx="5">
                  <c:v>0</c:v>
                </c:pt>
                <c:pt idx="6">
                  <c:v>0</c:v>
                </c:pt>
                <c:pt idx="7">
                  <c:v>0</c:v>
                </c:pt>
                <c:pt idx="8">
                  <c:v>0</c:v>
                </c:pt>
                <c:pt idx="9">
                  <c:v>0</c:v>
                </c:pt>
              </c:numCache>
            </c:numRef>
          </c:val>
          <c:extLst>
            <c:ext xmlns:c16="http://schemas.microsoft.com/office/drawing/2014/chart" uri="{C3380CC4-5D6E-409C-BE32-E72D297353CC}">
              <c16:uniqueId val="{00000000-48B5-46CF-AD31-A0E2A86A3890}"/>
            </c:ext>
          </c:extLst>
        </c:ser>
        <c:ser>
          <c:idx val="1"/>
          <c:order val="1"/>
          <c:spPr>
            <a:solidFill>
              <a:srgbClr val="E6E6FA"/>
            </a:solidFill>
          </c:spPr>
          <c:invertIfNegative val="0"/>
          <c:cat>
            <c:strRef>
              <c:f>Dashboard!$E$3:$E$15</c:f>
              <c:strCache>
                <c:ptCount val="13"/>
                <c:pt idx="0">
                  <c:v>Income</c:v>
                </c:pt>
                <c:pt idx="1">
                  <c:v>Grants And Loans</c:v>
                </c:pt>
                <c:pt idx="2">
                  <c:v>Salary</c:v>
                </c:pt>
                <c:pt idx="3">
                  <c:v>Income</c:v>
                </c:pt>
                <c:pt idx="4">
                  <c:v>Expenses</c:v>
                </c:pt>
                <c:pt idx="5">
                  <c:v>Living Expense</c:v>
                </c:pt>
                <c:pt idx="6">
                  <c:v>Food Expense</c:v>
                </c:pt>
                <c:pt idx="7">
                  <c:v>Hydro/Utilities</c:v>
                </c:pt>
                <c:pt idx="8">
                  <c:v>Other Expenses</c:v>
                </c:pt>
                <c:pt idx="9">
                  <c:v>Miscellaneous Expenses</c:v>
                </c:pt>
                <c:pt idx="10">
                  <c:v>Debt Repayment</c:v>
                </c:pt>
                <c:pt idx="11">
                  <c:v>Monthly Savings</c:v>
                </c:pt>
                <c:pt idx="12">
                  <c:v>Monthly Investment</c:v>
                </c:pt>
              </c:strCache>
            </c:strRef>
          </c:cat>
          <c:val>
            <c:numRef>
              <c:f>Dashboard!$G$3:$G$15</c:f>
              <c:numCache>
                <c:formatCode>General</c:formatCode>
                <c:ptCount val="13"/>
                <c:pt idx="0">
                  <c:v>3750</c:v>
                </c:pt>
                <c:pt idx="1">
                  <c:v>1500</c:v>
                </c:pt>
                <c:pt idx="2">
                  <c:v>1750</c:v>
                </c:pt>
                <c:pt idx="3">
                  <c:v>500</c:v>
                </c:pt>
                <c:pt idx="4">
                  <c:v>1816.45</c:v>
                </c:pt>
                <c:pt idx="5">
                  <c:v>1250</c:v>
                </c:pt>
                <c:pt idx="6">
                  <c:v>350</c:v>
                </c:pt>
                <c:pt idx="7">
                  <c:v>100</c:v>
                </c:pt>
                <c:pt idx="8">
                  <c:v>50.45</c:v>
                </c:pt>
                <c:pt idx="9">
                  <c:v>66</c:v>
                </c:pt>
                <c:pt idx="10">
                  <c:v>625</c:v>
                </c:pt>
                <c:pt idx="11">
                  <c:v>833.33</c:v>
                </c:pt>
                <c:pt idx="12">
                  <c:v>1250</c:v>
                </c:pt>
              </c:numCache>
            </c:numRef>
          </c:val>
          <c:extLst>
            <c:ext xmlns:c16="http://schemas.microsoft.com/office/drawing/2014/chart" uri="{C3380CC4-5D6E-409C-BE32-E72D297353CC}">
              <c16:uniqueId val="{00000001-48B5-46CF-AD31-A0E2A86A3890}"/>
            </c:ext>
          </c:extLst>
        </c:ser>
        <c:dLbls>
          <c:showLegendKey val="0"/>
          <c:showVal val="0"/>
          <c:showCatName val="0"/>
          <c:showSerName val="0"/>
          <c:showPercent val="0"/>
          <c:showBubbleSize val="0"/>
        </c:dLbls>
        <c:gapWidth val="150"/>
        <c:axId val="89313567"/>
        <c:axId val="89325087"/>
      </c:barChart>
      <c:catAx>
        <c:axId val="89313567"/>
        <c:scaling>
          <c:orientation val="minMax"/>
        </c:scaling>
        <c:delete val="0"/>
        <c:axPos val="b"/>
        <c:numFmt formatCode="General" sourceLinked="1"/>
        <c:majorTickMark val="out"/>
        <c:minorTickMark val="none"/>
        <c:tickLblPos val="nextTo"/>
        <c:crossAx val="89325087"/>
        <c:crossesAt val="0"/>
        <c:auto val="1"/>
        <c:lblAlgn val="ctr"/>
        <c:lblOffset val="100"/>
        <c:noMultiLvlLbl val="0"/>
      </c:catAx>
      <c:valAx>
        <c:axId val="89325087"/>
        <c:scaling>
          <c:orientation val="minMax"/>
        </c:scaling>
        <c:delete val="0"/>
        <c:axPos val="l"/>
        <c:majorGridlines/>
        <c:numFmt formatCode="General" sourceLinked="1"/>
        <c:majorTickMark val="out"/>
        <c:minorTickMark val="none"/>
        <c:tickLblPos val="nextTo"/>
        <c:crossAx val="89313567"/>
        <c:crosses val="autoZero"/>
        <c:crossBetween val="between"/>
        <c:majorUnit val="400"/>
        <c:minorUnit val="200"/>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323850</xdr:colOff>
          <xdr:row>6</xdr:row>
          <xdr:rowOff>85725</xdr:rowOff>
        </xdr:from>
        <xdr:to>
          <xdr:col>12</xdr:col>
          <xdr:colOff>347663</xdr:colOff>
          <xdr:row>12</xdr:row>
          <xdr:rowOff>71438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Aptos Narrow"/>
                </a:rPr>
                <a:t>Input financial goal data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366713</xdr:colOff>
          <xdr:row>13</xdr:row>
          <xdr:rowOff>42863</xdr:rowOff>
        </xdr:from>
        <xdr:to>
          <xdr:col>12</xdr:col>
          <xdr:colOff>323850</xdr:colOff>
          <xdr:row>16</xdr:row>
          <xdr:rowOff>109538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Aptos Narrow"/>
                </a:rPr>
                <a:t>Clear Goals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157163</xdr:colOff>
          <xdr:row>1</xdr:row>
          <xdr:rowOff>71438</xdr:rowOff>
        </xdr:from>
        <xdr:to>
          <xdr:col>6</xdr:col>
          <xdr:colOff>495300</xdr:colOff>
          <xdr:row>5</xdr:row>
          <xdr:rowOff>147638</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Aptos Narrow"/>
                </a:rPr>
                <a:t>Beginning of month input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33338</xdr:colOff>
          <xdr:row>6</xdr:row>
          <xdr:rowOff>119063</xdr:rowOff>
        </xdr:from>
        <xdr:to>
          <xdr:col>15</xdr:col>
          <xdr:colOff>371475</xdr:colOff>
          <xdr:row>11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Aptos Narrow"/>
                </a:rPr>
                <a:t>End of Month Input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23813</xdr:colOff>
          <xdr:row>12</xdr:row>
          <xdr:rowOff>66675</xdr:rowOff>
        </xdr:from>
        <xdr:to>
          <xdr:col>15</xdr:col>
          <xdr:colOff>400050</xdr:colOff>
          <xdr:row>16</xdr:row>
          <xdr:rowOff>28575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Aptos Narrow"/>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171450</xdr:colOff>
          <xdr:row>17</xdr:row>
          <xdr:rowOff>114300</xdr:rowOff>
        </xdr:from>
        <xdr:to>
          <xdr:col>16</xdr:col>
          <xdr:colOff>4763</xdr:colOff>
          <xdr:row>21</xdr:row>
          <xdr:rowOff>100013</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Aptos Narrow"/>
                </a:rPr>
                <a:t>Button 3</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204788</xdr:colOff>
          <xdr:row>2</xdr:row>
          <xdr:rowOff>342900</xdr:rowOff>
        </xdr:from>
        <xdr:to>
          <xdr:col>25</xdr:col>
          <xdr:colOff>433388</xdr:colOff>
          <xdr:row>6</xdr:row>
          <xdr:rowOff>238125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400-00000150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CA" sz="2000" b="0" i="0" u="none" strike="noStrike" baseline="0">
                  <a:solidFill>
                    <a:srgbClr val="000000"/>
                  </a:solidFill>
                  <a:latin typeface="Aptos Narrow"/>
                </a:rPr>
                <a:t>Instructions</a:t>
              </a:r>
              <a:r>
                <a:rPr lang="en-CA" sz="1100" b="0" i="0" u="none" strike="noStrike" baseline="0">
                  <a:solidFill>
                    <a:srgbClr val="000000"/>
                  </a:solidFill>
                  <a:latin typeface="Aptos Narrow"/>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195263</xdr:colOff>
          <xdr:row>7</xdr:row>
          <xdr:rowOff>152400</xdr:rowOff>
        </xdr:from>
        <xdr:to>
          <xdr:col>25</xdr:col>
          <xdr:colOff>438150</xdr:colOff>
          <xdr:row>11</xdr:row>
          <xdr:rowOff>38100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400-00000250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CA" sz="2000" b="0" i="0" u="none" strike="noStrike" baseline="0">
                  <a:solidFill>
                    <a:srgbClr val="000000"/>
                  </a:solidFill>
                  <a:latin typeface="Aptos Narrow"/>
                </a:rPr>
                <a:t>Update Values</a:t>
              </a:r>
            </a:p>
          </xdr:txBody>
        </xdr:sp>
        <xdr:clientData fPrintsWithSheet="0"/>
      </xdr:twoCellAnchor>
    </mc:Choice>
    <mc:Fallback/>
  </mc:AlternateContent>
  <xdr:twoCellAnchor editAs="oneCell">
    <xdr:from>
      <xdr:col>10</xdr:col>
      <xdr:colOff>39497</xdr:colOff>
      <xdr:row>20</xdr:row>
      <xdr:rowOff>7215</xdr:rowOff>
    </xdr:from>
    <xdr:to>
      <xdr:col>12</xdr:col>
      <xdr:colOff>25065</xdr:colOff>
      <xdr:row>32</xdr:row>
      <xdr:rowOff>1790</xdr:rowOff>
    </xdr:to>
    <mc:AlternateContent xmlns:mc="http://schemas.openxmlformats.org/markup-compatibility/2006" xmlns:a14="http://schemas.microsoft.com/office/drawing/2010/main">
      <mc:Choice Requires="a14">
        <xdr:graphicFrame macro="">
          <xdr:nvGraphicFramePr>
            <xdr:cNvPr id="29" name="Month">
              <a:extLst>
                <a:ext uri="{FF2B5EF4-FFF2-40B4-BE49-F238E27FC236}">
                  <a16:creationId xmlns:a16="http://schemas.microsoft.com/office/drawing/2014/main" id="{94121F9F-669C-6CF6-E597-4F72B00A063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284960" y="7668628"/>
              <a:ext cx="1290079" cy="458255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23</xdr:col>
          <xdr:colOff>209550</xdr:colOff>
          <xdr:row>35</xdr:row>
          <xdr:rowOff>242888</xdr:rowOff>
        </xdr:from>
        <xdr:to>
          <xdr:col>25</xdr:col>
          <xdr:colOff>500063</xdr:colOff>
          <xdr:row>39</xdr:row>
          <xdr:rowOff>190500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400-00000850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CA" sz="2000" b="0" i="0" u="none" strike="noStrike" baseline="0">
                  <a:solidFill>
                    <a:srgbClr val="000000"/>
                  </a:solidFill>
                  <a:latin typeface="Aptos Narrow"/>
                </a:rPr>
                <a:t>Update Expense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209550</xdr:colOff>
          <xdr:row>40</xdr:row>
          <xdr:rowOff>38100</xdr:rowOff>
        </xdr:from>
        <xdr:to>
          <xdr:col>25</xdr:col>
          <xdr:colOff>514350</xdr:colOff>
          <xdr:row>43</xdr:row>
          <xdr:rowOff>381000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400-00000950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CA" sz="2000" b="0" i="0" u="none" strike="noStrike" baseline="0">
                  <a:solidFill>
                    <a:srgbClr val="000000"/>
                  </a:solidFill>
                  <a:latin typeface="Aptos Narrow"/>
                </a:rPr>
                <a:t>Update Goals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195263</xdr:colOff>
          <xdr:row>11</xdr:row>
          <xdr:rowOff>285750</xdr:rowOff>
        </xdr:from>
        <xdr:to>
          <xdr:col>25</xdr:col>
          <xdr:colOff>471488</xdr:colOff>
          <xdr:row>15</xdr:row>
          <xdr:rowOff>252413</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400-00000A50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CA" sz="2000" b="0" i="0" u="none" strike="noStrike" baseline="0">
                  <a:solidFill>
                    <a:srgbClr val="000000"/>
                  </a:solidFill>
                  <a:latin typeface="Aptos Narrow"/>
                </a:rPr>
                <a:t>Financial Advice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209550</xdr:colOff>
          <xdr:row>31</xdr:row>
          <xdr:rowOff>23813</xdr:rowOff>
        </xdr:from>
        <xdr:to>
          <xdr:col>25</xdr:col>
          <xdr:colOff>500063</xdr:colOff>
          <xdr:row>34</xdr:row>
          <xdr:rowOff>357188</xdr:rowOff>
        </xdr:to>
        <xdr:sp macro="" textlink="">
          <xdr:nvSpPr>
            <xdr:cNvPr id="20491" name="Button 11" hidden="1">
              <a:extLst>
                <a:ext uri="{63B3BB69-23CF-44E3-9099-C40C66FF867C}">
                  <a14:compatExt spid="_x0000_s20491"/>
                </a:ext>
                <a:ext uri="{FF2B5EF4-FFF2-40B4-BE49-F238E27FC236}">
                  <a16:creationId xmlns:a16="http://schemas.microsoft.com/office/drawing/2014/main" id="{00000000-0008-0000-0400-00000B50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CA" sz="2000" b="0" i="0" u="none" strike="noStrike" baseline="0">
                  <a:solidFill>
                    <a:srgbClr val="000000"/>
                  </a:solidFill>
                  <a:latin typeface="Aptos Narrow"/>
                </a:rPr>
                <a:t>Update Income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219075</xdr:colOff>
          <xdr:row>25</xdr:row>
          <xdr:rowOff>228600</xdr:rowOff>
        </xdr:from>
        <xdr:to>
          <xdr:col>25</xdr:col>
          <xdr:colOff>447675</xdr:colOff>
          <xdr:row>29</xdr:row>
          <xdr:rowOff>123825</xdr:rowOff>
        </xdr:to>
        <xdr:sp macro="" textlink="">
          <xdr:nvSpPr>
            <xdr:cNvPr id="20492" name="Button 12" hidden="1">
              <a:extLst>
                <a:ext uri="{63B3BB69-23CF-44E3-9099-C40C66FF867C}">
                  <a14:compatExt spid="_x0000_s20492"/>
                </a:ext>
                <a:ext uri="{FF2B5EF4-FFF2-40B4-BE49-F238E27FC236}">
                  <a16:creationId xmlns:a16="http://schemas.microsoft.com/office/drawing/2014/main" id="{00000000-0008-0000-0400-00000C50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CA" sz="2000" b="0" i="0" u="none" strike="noStrike" baseline="0">
                  <a:solidFill>
                    <a:srgbClr val="000000"/>
                  </a:solidFill>
                  <a:latin typeface="Aptos Narrow"/>
                </a:rPr>
                <a:t>Monthly Input 2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214313</xdr:colOff>
          <xdr:row>21</xdr:row>
          <xdr:rowOff>114300</xdr:rowOff>
        </xdr:from>
        <xdr:to>
          <xdr:col>25</xdr:col>
          <xdr:colOff>442913</xdr:colOff>
          <xdr:row>25</xdr:row>
          <xdr:rowOff>9525</xdr:rowOff>
        </xdr:to>
        <xdr:sp macro="" textlink="">
          <xdr:nvSpPr>
            <xdr:cNvPr id="20493" name="Button 13" hidden="1">
              <a:extLst>
                <a:ext uri="{63B3BB69-23CF-44E3-9099-C40C66FF867C}">
                  <a14:compatExt spid="_x0000_s20493"/>
                </a:ext>
                <a:ext uri="{FF2B5EF4-FFF2-40B4-BE49-F238E27FC236}">
                  <a16:creationId xmlns:a16="http://schemas.microsoft.com/office/drawing/2014/main" id="{00000000-0008-0000-0400-00000D50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CA" sz="2000" b="0" i="0" u="none" strike="noStrike" baseline="0">
                  <a:solidFill>
                    <a:srgbClr val="000000"/>
                  </a:solidFill>
                  <a:latin typeface="Aptos Narrow"/>
                </a:rPr>
                <a:t>Monthly Input 1</a:t>
              </a:r>
              <a:r>
                <a:rPr lang="en-CA" sz="1100" b="0" i="0" u="none" strike="noStrike" baseline="0">
                  <a:solidFill>
                    <a:srgbClr val="000000"/>
                  </a:solidFill>
                  <a:latin typeface="Aptos Narrow"/>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214313</xdr:colOff>
          <xdr:row>16</xdr:row>
          <xdr:rowOff>200025</xdr:rowOff>
        </xdr:from>
        <xdr:to>
          <xdr:col>25</xdr:col>
          <xdr:colOff>438150</xdr:colOff>
          <xdr:row>20</xdr:row>
          <xdr:rowOff>95250</xdr:rowOff>
        </xdr:to>
        <xdr:sp macro="" textlink="">
          <xdr:nvSpPr>
            <xdr:cNvPr id="20494" name="Button 14" hidden="1">
              <a:extLst>
                <a:ext uri="{63B3BB69-23CF-44E3-9099-C40C66FF867C}">
                  <a14:compatExt spid="_x0000_s20494"/>
                </a:ext>
                <a:ext uri="{FF2B5EF4-FFF2-40B4-BE49-F238E27FC236}">
                  <a16:creationId xmlns:a16="http://schemas.microsoft.com/office/drawing/2014/main" id="{00000000-0008-0000-0400-00000E500000}"/>
                </a:ext>
              </a:extLst>
            </xdr:cNvPr>
            <xdr:cNvSpPr/>
          </xdr:nvSpPr>
          <xdr:spPr bwMode="auto">
            <a:xfrm>
              <a:off x="0" y="0"/>
              <a:ext cx="0" cy="0"/>
            </a:xfrm>
            <a:prstGeom prst="rect">
              <a:avLst/>
            </a:prstGeom>
            <a:noFill/>
            <a:ln w="9525">
              <a:miter lim="800000"/>
              <a:headEnd/>
              <a:tailEnd/>
            </a:ln>
          </xdr:spPr>
          <xdr:txBody>
            <a:bodyPr vertOverflow="clip" wrap="square" lIns="73152" tIns="82296" rIns="73152" bIns="82296" anchor="ctr" upright="1"/>
            <a:lstStyle/>
            <a:p>
              <a:pPr algn="ctr" rtl="0">
                <a:defRPr sz="1000"/>
              </a:pPr>
              <a:r>
                <a:rPr lang="en-CA" sz="2000" b="0" i="0" u="none" strike="noStrike" baseline="0">
                  <a:solidFill>
                    <a:srgbClr val="000000"/>
                  </a:solidFill>
                  <a:latin typeface="Aptos Narrow"/>
                </a:rPr>
                <a:t>Goals</a:t>
              </a:r>
              <a:r>
                <a:rPr lang="en-CA" sz="1100" b="0" i="0" u="none" strike="noStrike" baseline="0">
                  <a:solidFill>
                    <a:srgbClr val="000000"/>
                  </a:solidFill>
                  <a:latin typeface="Aptos Narrow"/>
                </a:rPr>
                <a:t> </a:t>
              </a:r>
            </a:p>
          </xdr:txBody>
        </xdr:sp>
        <xdr:clientData fPrintsWithSheet="0"/>
      </xdr:twoCellAnchor>
    </mc:Choice>
    <mc:Fallback/>
  </mc:AlternateContent>
  <xdr:twoCellAnchor>
    <xdr:from>
      <xdr:col>0</xdr:col>
      <xdr:colOff>0</xdr:colOff>
      <xdr:row>19</xdr:row>
      <xdr:rowOff>374898</xdr:rowOff>
    </xdr:from>
    <xdr:to>
      <xdr:col>9</xdr:col>
      <xdr:colOff>279537</xdr:colOff>
      <xdr:row>32</xdr:row>
      <xdr:rowOff>10353</xdr:rowOff>
    </xdr:to>
    <xdr:graphicFrame macro="">
      <xdr:nvGraphicFramePr>
        <xdr:cNvPr id="6" name="Chart 5">
          <a:extLst>
            <a:ext uri="{FF2B5EF4-FFF2-40B4-BE49-F238E27FC236}">
              <a16:creationId xmlns:a16="http://schemas.microsoft.com/office/drawing/2014/main" id="{B729A7C3-444B-58AD-B655-B4053445B0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34</xdr:row>
      <xdr:rowOff>0</xdr:rowOff>
    </xdr:from>
    <xdr:to>
      <xdr:col>23</xdr:col>
      <xdr:colOff>0</xdr:colOff>
      <xdr:row>44</xdr:row>
      <xdr:rowOff>0</xdr:rowOff>
    </xdr:to>
    <xdr:graphicFrame macro="">
      <xdr:nvGraphicFramePr>
        <xdr:cNvPr id="7" name="GoalProgressDonutChart">
          <a:extLst>
            <a:ext uri="{FF2B5EF4-FFF2-40B4-BE49-F238E27FC236}">
              <a16:creationId xmlns:a16="http://schemas.microsoft.com/office/drawing/2014/main" id="{BFBACC34-F372-A3CB-9678-D982B7F993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34</xdr:row>
      <xdr:rowOff>0</xdr:rowOff>
    </xdr:from>
    <xdr:to>
      <xdr:col>14</xdr:col>
      <xdr:colOff>0</xdr:colOff>
      <xdr:row>44</xdr:row>
      <xdr:rowOff>0</xdr:rowOff>
    </xdr:to>
    <xdr:graphicFrame macro="">
      <xdr:nvGraphicFramePr>
        <xdr:cNvPr id="8" name="ExpenseDonutChart">
          <a:extLst>
            <a:ext uri="{FF2B5EF4-FFF2-40B4-BE49-F238E27FC236}">
              <a16:creationId xmlns:a16="http://schemas.microsoft.com/office/drawing/2014/main" id="{DF6E0A04-0506-3C54-957A-B1E45ABB91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34</xdr:row>
      <xdr:rowOff>0</xdr:rowOff>
    </xdr:from>
    <xdr:to>
      <xdr:col>4</xdr:col>
      <xdr:colOff>0</xdr:colOff>
      <xdr:row>44</xdr:row>
      <xdr:rowOff>0</xdr:rowOff>
    </xdr:to>
    <xdr:graphicFrame macro="">
      <xdr:nvGraphicFramePr>
        <xdr:cNvPr id="9" name="IncomeDonutChart">
          <a:extLst>
            <a:ext uri="{FF2B5EF4-FFF2-40B4-BE49-F238E27FC236}">
              <a16:creationId xmlns:a16="http://schemas.microsoft.com/office/drawing/2014/main" id="{96EBB3C5-E15E-415A-5F5B-908AE23DB0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2</xdr:row>
      <xdr:rowOff>0</xdr:rowOff>
    </xdr:from>
    <xdr:to>
      <xdr:col>19</xdr:col>
      <xdr:colOff>0</xdr:colOff>
      <xdr:row>17</xdr:row>
      <xdr:rowOff>0</xdr:rowOff>
    </xdr:to>
    <xdr:graphicFrame macro="">
      <xdr:nvGraphicFramePr>
        <xdr:cNvPr id="2" name="MonthlyBudgetChart">
          <a:extLst>
            <a:ext uri="{FF2B5EF4-FFF2-40B4-BE49-F238E27FC236}">
              <a16:creationId xmlns:a16="http://schemas.microsoft.com/office/drawing/2014/main" id="{0AD05745-FE6F-9DFB-1498-F78FB70A5B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nvi Pandya" refreshedDate="45625.929338078706" createdVersion="3" refreshedVersion="8" minRefreshableVersion="3" recordCount="1" xr:uid="{F75DD1C2-06B4-4801-A1B7-29411E1C9555}">
  <cacheSource type="worksheet">
    <worksheetSource ref="U1:W2" sheet="MonthlyInput2"/>
  </cacheSource>
  <cacheFields count="3">
    <cacheField name="Month" numFmtId="164">
      <sharedItems containsSemiMixedTypes="0" containsNonDate="0" containsDate="1" containsString="0" minDate="2024-11-01T00:00:00" maxDate="2024-11-02T00:00:00" count="1">
        <d v="2024-11-01T00:00:00"/>
      </sharedItems>
    </cacheField>
    <cacheField name="Total Income" numFmtId="0">
      <sharedItems containsSemiMixedTypes="0" containsString="0" containsNumber="1" containsInteger="1" minValue="4250" maxValue="4250"/>
    </cacheField>
    <cacheField name="Total Expenses" numFmtId="0">
      <sharedItems containsSemiMixedTypes="0" containsString="0" containsNumber="1" containsInteger="1" minValue="2450" maxValue="2450"/>
    </cacheField>
  </cacheFields>
  <extLst>
    <ext xmlns:x14="http://schemas.microsoft.com/office/spreadsheetml/2009/9/main" uri="{725AE2AE-9491-48be-B2B4-4EB974FC3084}">
      <x14:pivotCacheDefinition pivotCacheId="214747230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nvi Pandya" refreshedDate="45625.926294097226" createdVersion="3" refreshedVersion="8" minRefreshableVersion="3" recordCount="3" xr:uid="{96AD0B01-CA9D-461A-8E90-4C65C4B67458}">
  <cacheSource type="worksheet">
    <worksheetSource ref="U1:W2" sheet="MonthlyInput2"/>
  </cacheSource>
  <cacheFields count="3">
    <cacheField name="Month" numFmtId="164">
      <sharedItems containsNonDate="0" containsDate="1" containsString="0" containsBlank="1" minDate="2024-05-01T00:00:00" maxDate="2026-01-02T00:00:00" count="12">
        <d v="2024-11-01T00:00:00"/>
        <m/>
        <d v="2024-12-01T00:00:00" u="1"/>
        <d v="2025-01-01T00:00:00" u="1"/>
        <d v="2024-05-01T00:00:00" u="1"/>
        <d v="2025-07-01T00:00:00" u="1"/>
        <d v="2025-08-01T00:00:00" u="1"/>
        <d v="2025-09-01T00:00:00" u="1"/>
        <d v="2024-10-01T00:00:00" u="1"/>
        <d v="2025-11-01T00:00:00" u="1"/>
        <d v="2025-12-01T00:00:00" u="1"/>
        <d v="2026-01-01T00:00:00" u="1"/>
      </sharedItems>
    </cacheField>
    <cacheField name="Total Income" numFmtId="0">
      <sharedItems containsString="0" containsBlank="1" containsNumber="1" containsInteger="1" minValue="4250" maxValue="4250"/>
    </cacheField>
    <cacheField name="Total Expenses" numFmtId="0">
      <sharedItems containsString="0" containsBlank="1" containsNumber="1" containsInteger="1" minValue="2450" maxValue="2450"/>
    </cacheField>
  </cacheFields>
  <extLst>
    <ext xmlns:x14="http://schemas.microsoft.com/office/spreadsheetml/2009/9/main" uri="{725AE2AE-9491-48be-B2B4-4EB974FC3084}">
      <x14:pivotCacheDefinition pivotCacheId="3615415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n v="4250"/>
    <n v="245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4250"/>
    <n v="2450"/>
  </r>
  <r>
    <x v="1"/>
    <m/>
    <m/>
  </r>
  <r>
    <x v="1"/>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BCBF88-14F1-4C68-9D61-5C14C3214B1A}" name="PivotTable5"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Z1:AB4" firstHeaderRow="1" firstDataRow="2" firstDataCol="1"/>
  <pivotFields count="3">
    <pivotField axis="axisRow" numFmtId="164" showAll="0">
      <items count="2">
        <item x="0"/>
        <item t="default"/>
      </items>
    </pivotField>
    <pivotField dataField="1" showAll="0"/>
    <pivotField dataField="1" showAll="0"/>
  </pivotFields>
  <rowFields count="1">
    <field x="0"/>
  </rowFields>
  <rowItems count="2">
    <i>
      <x/>
    </i>
    <i t="grand">
      <x/>
    </i>
  </rowItems>
  <colFields count="1">
    <field x="-2"/>
  </colFields>
  <colItems count="2">
    <i>
      <x/>
    </i>
    <i i="1">
      <x v="1"/>
    </i>
  </colItems>
  <dataFields count="2">
    <dataField name="Sum of Total Income" fld="1" baseField="0" baseItem="0" numFmtId="3"/>
    <dataField name="Sum of Total Expenses" fld="2" baseField="0" baseItem="0" numFmtId="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1A7ACCA-525C-4331-A475-19E745660442}" sourceName="Month">
  <data>
    <tabular pivotCacheId="361541564">
      <items count="12">
        <i x="4"/>
        <i x="8"/>
        <i x="0" s="1"/>
        <i x="2"/>
        <i x="3"/>
        <i x="5"/>
        <i x="6"/>
        <i x="7"/>
        <i x="9"/>
        <i x="10"/>
        <i x="1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D19A7133-B7EC-45CB-8A6F-46672830E4CB}" cache="Slicer_Month" caption="Month" rowHeight="24923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A2BEDD-46F4-41C2-A039-B133547B43E5}" name="Table3" displayName="Table3" ref="A1:J2" totalsRowShown="0">
  <autoFilter ref="A1:J2" xr:uid="{D9A2BEDD-46F4-41C2-A039-B133547B43E5}"/>
  <tableColumns count="10">
    <tableColumn id="1" xr3:uid="{E14BF83D-6458-4CE8-B108-C4B9B8A3AC03}" name="Debt Amount "/>
    <tableColumn id="2" xr3:uid="{269CED26-EBD4-49C3-B30C-E4ECB28D97CA}" name="Months to Pay off Dept"/>
    <tableColumn id="3" xr3:uid="{F11D1349-8EB8-4DAA-BBD3-8D2826042961}" name="Savings Amount "/>
    <tableColumn id="4" xr3:uid="{0DCF0A61-C1D0-40C1-9347-01CC30E4DAD8}" name="Months to reach Savings goal"/>
    <tableColumn id="5" xr3:uid="{15722857-BB23-4234-9D8F-F43DF0EE7583}" name="Investment amount"/>
    <tableColumn id="6" xr3:uid="{965D678F-EBFD-4D81-A0FE-B8DE7131C643}" name="Months to reach investmnet goals"/>
    <tableColumn id="7" xr3:uid="{E2A04E24-773A-4222-8339-D8C57B9C930C}" name="Monthly Debt Payment"/>
    <tableColumn id="8" xr3:uid="{91CAF2FC-3D62-4CE5-BE2A-D8D7A1295148}" name="Monthly Savings Amount"/>
    <tableColumn id="9" xr3:uid="{97B5EC7D-5EAB-4781-907F-5F6687A719DC}" name="Monthly Investment Amount"/>
    <tableColumn id="10" xr3:uid="{BCD945BD-D662-4F98-A5B8-1664F4C918DD}" name="Month Start "/>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E1DAB9-76B2-4730-BA5C-656293A2E380}" name="Table6" displayName="Table6" ref="N1:Q6" totalsRowShown="0">
  <autoFilter ref="N1:Q6" xr:uid="{07E1DAB9-76B2-4730-BA5C-656293A2E380}"/>
  <tableColumns count="4">
    <tableColumn id="1" xr3:uid="{791F4B43-F0E1-4BD0-B562-2447DABD3C92}" name="Month " dataDxfId="5"/>
    <tableColumn id="2" xr3:uid="{D04F5456-F4FC-4AD9-AAC0-8CB8FE66CABB}" name="Total Debt"/>
    <tableColumn id="3" xr3:uid="{E372A683-9496-4704-9165-3BEAA97D2815}" name="Total Savings "/>
    <tableColumn id="4" xr3:uid="{70346659-8820-466F-BD35-6A134C8B0B3C}" name="Total Investment "/>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FDDDBA6-CFDF-4417-A5D8-84EE69B5920B}" name="Table8" displayName="Table8" ref="A1:D17" totalsRowShown="0" headerRowDxfId="4" headerRowBorderDxfId="3" tableBorderDxfId="2">
  <autoFilter ref="A1:D17" xr:uid="{DFDDDBA6-CFDF-4417-A5D8-84EE69B5920B}"/>
  <tableColumns count="4">
    <tableColumn id="1" xr3:uid="{4EB2A81F-182A-46F3-AE1D-0579DA95434F}" name="Month"/>
    <tableColumn id="2" xr3:uid="{588FC598-E310-41AF-B48E-65D6B34CAE9C}" name="Amount "/>
    <tableColumn id="3" xr3:uid="{B149030D-3106-4224-9C1D-4EAE13EA70D7}" name="Category"/>
    <tableColumn id="4" xr3:uid="{EA1006EE-B05A-431E-BDCC-BDC1EC0684F7}" name="Type" dataDxfId="1">
      <calculatedColumnFormula>VLOOKUP(C2,'VLOOK UP VALUES'!$A$1:$B$14,2,FALSE)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A28912D-D08D-4B8B-AB6E-634DA97B56F5}" name="Table9" displayName="Table9" ref="A1:L5" totalsRowShown="0">
  <autoFilter ref="A1:L5" xr:uid="{6A28912D-D08D-4B8B-AB6E-634DA97B56F5}"/>
  <tableColumns count="12">
    <tableColumn id="1" xr3:uid="{D1EB6CCE-D712-49C6-B3F3-6CCD1146E0F0}" name="Month"/>
    <tableColumn id="2" xr3:uid="{638875A0-2FA5-4718-BAFB-0706FDA7E111}" name="Grants and Loans "/>
    <tableColumn id="3" xr3:uid="{CF7B9EE3-772F-481D-8467-F0B7D783DB0B}" name="Salary "/>
    <tableColumn id="4" xr3:uid="{95A5ED19-0746-4D55-B60E-926CBA6C77E6}" name="Income"/>
    <tableColumn id="5" xr3:uid="{AC8877BC-D109-4518-8672-91E483A95ACE}" name="Living Expense"/>
    <tableColumn id="6" xr3:uid="{CCE7F665-2038-47E0-BC4B-3096649B59B5}" name="Food Expense"/>
    <tableColumn id="7" xr3:uid="{21487CF2-4727-4CB2-8603-9848CD2CE82A}" name="Hydro/Utilities "/>
    <tableColumn id="8" xr3:uid="{C5AC1AB3-34E3-44CB-AE17-7A30E3F08E36}" name="Other Expenses "/>
    <tableColumn id="9" xr3:uid="{C60ED287-38AF-4131-A82B-614B60BDDB58}" name="Miscellencous expenses"/>
    <tableColumn id="10" xr3:uid="{41BDBA3B-6B3D-4A56-A08A-FA1E201490C5}" name="Dept goal"/>
    <tableColumn id="11" xr3:uid="{AE30D004-124E-4CF2-871B-10F53FE06449}" name="Savings goal"/>
    <tableColumn id="12" xr3:uid="{415DB432-E102-45BE-B987-FF966842FDAF}" name="Investment Go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19BF4D-2EB9-4A1B-B102-1FAE5E8DDA39}" name="Table1" displayName="Table1" ref="U1:W2" totalsRowShown="0">
  <autoFilter ref="U1:W2" xr:uid="{2219BF4D-2EB9-4A1B-B102-1FAE5E8DDA39}"/>
  <tableColumns count="3">
    <tableColumn id="1" xr3:uid="{8680D7B5-85F0-486A-A2D6-D3888FB3FFBE}" name="Month" dataDxfId="0"/>
    <tableColumn id="2" xr3:uid="{0C28E6AE-815A-4753-A46C-68494FDCF4DD}" name="Total Income"/>
    <tableColumn id="3" xr3:uid="{9FC282F4-09BD-4E6A-A998-DC590EC18A26}" name="Total Expens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3.xml"/><Relationship Id="rId7" Type="http://schemas.openxmlformats.org/officeDocument/2006/relationships/ctrlProp" Target="../ctrlProps/ctrlProp6.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3.vml"/><Relationship Id="rId9"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13" Type="http://schemas.microsoft.com/office/2007/relationships/slicer" Target="../slicers/slicer1.xml"/><Relationship Id="rId3" Type="http://schemas.openxmlformats.org/officeDocument/2006/relationships/vmlDrawing" Target="../drawings/vmlDrawing4.v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0B86F-0F77-4731-9AA9-76B3155F70EB}">
  <sheetPr codeName="Sheet8"/>
  <dimension ref="A1:B14"/>
  <sheetViews>
    <sheetView topLeftCell="A2" workbookViewId="0">
      <selection activeCell="C18" sqref="C18"/>
    </sheetView>
  </sheetViews>
  <sheetFormatPr defaultRowHeight="14.25" x14ac:dyDescent="0.45"/>
  <cols>
    <col min="1" max="1" width="22.73046875" bestFit="1" customWidth="1"/>
    <col min="2" max="2" width="7.265625" bestFit="1" customWidth="1"/>
  </cols>
  <sheetData>
    <row r="1" spans="1:2" x14ac:dyDescent="0.45">
      <c r="A1" s="1" t="s">
        <v>26</v>
      </c>
      <c r="B1" s="1" t="s">
        <v>9</v>
      </c>
    </row>
    <row r="2" spans="1:2" x14ac:dyDescent="0.45">
      <c r="A2" s="2" t="s">
        <v>6</v>
      </c>
      <c r="B2" s="2" t="s">
        <v>22</v>
      </c>
    </row>
    <row r="3" spans="1:2" x14ac:dyDescent="0.45">
      <c r="A3" s="1" t="s">
        <v>24</v>
      </c>
      <c r="B3" s="1" t="s">
        <v>23</v>
      </c>
    </row>
    <row r="4" spans="1:2" x14ac:dyDescent="0.45">
      <c r="A4" s="2" t="s">
        <v>5</v>
      </c>
      <c r="B4" s="2" t="s">
        <v>23</v>
      </c>
    </row>
    <row r="5" spans="1:2" x14ac:dyDescent="0.45">
      <c r="A5" s="1" t="s">
        <v>6</v>
      </c>
      <c r="B5" s="1" t="s">
        <v>23</v>
      </c>
    </row>
    <row r="6" spans="1:2" x14ac:dyDescent="0.45">
      <c r="A6" s="2" t="s">
        <v>25</v>
      </c>
      <c r="B6" s="2" t="s">
        <v>9</v>
      </c>
    </row>
    <row r="7" spans="1:2" x14ac:dyDescent="0.45">
      <c r="A7" s="1" t="s">
        <v>9</v>
      </c>
      <c r="B7" s="1" t="s">
        <v>9</v>
      </c>
    </row>
    <row r="8" spans="1:2" x14ac:dyDescent="0.45">
      <c r="A8" s="2" t="s">
        <v>11</v>
      </c>
      <c r="B8" s="2" t="s">
        <v>22</v>
      </c>
    </row>
    <row r="9" spans="1:2" x14ac:dyDescent="0.45">
      <c r="A9" s="1" t="s">
        <v>12</v>
      </c>
      <c r="B9" s="1" t="s">
        <v>22</v>
      </c>
    </row>
    <row r="10" spans="1:2" x14ac:dyDescent="0.45">
      <c r="A10" s="2" t="s">
        <v>27</v>
      </c>
      <c r="B10" s="2" t="s">
        <v>22</v>
      </c>
    </row>
    <row r="11" spans="1:2" x14ac:dyDescent="0.45">
      <c r="A11" s="1" t="s">
        <v>28</v>
      </c>
      <c r="B11" s="1" t="s">
        <v>22</v>
      </c>
    </row>
    <row r="12" spans="1:2" x14ac:dyDescent="0.45">
      <c r="A12" s="2" t="s">
        <v>31</v>
      </c>
      <c r="B12" s="2" t="s">
        <v>22</v>
      </c>
    </row>
    <row r="13" spans="1:2" x14ac:dyDescent="0.45">
      <c r="A13" s="1" t="s">
        <v>24</v>
      </c>
      <c r="B13" s="1" t="s">
        <v>22</v>
      </c>
    </row>
    <row r="14" spans="1:2" x14ac:dyDescent="0.45">
      <c r="A14" s="2" t="s">
        <v>5</v>
      </c>
      <c r="B14" s="2"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76DC0-29C5-40C8-9A25-EB9FA042A6B1}">
  <sheetPr codeName="Sheet1"/>
  <dimension ref="A1:Q17"/>
  <sheetViews>
    <sheetView topLeftCell="F1" zoomScale="92" workbookViewId="0">
      <selection activeCell="O2" sqref="O2"/>
    </sheetView>
  </sheetViews>
  <sheetFormatPr defaultRowHeight="14.25" x14ac:dyDescent="0.45"/>
  <cols>
    <col min="1" max="1" width="13.265625" customWidth="1"/>
    <col min="2" max="2" width="20.265625" customWidth="1"/>
    <col min="3" max="3" width="15.53125" customWidth="1"/>
    <col min="4" max="4" width="25.33203125" customWidth="1"/>
    <col min="5" max="5" width="18" customWidth="1"/>
    <col min="6" max="6" width="29.06640625" customWidth="1"/>
    <col min="7" max="7" width="20.46484375" customWidth="1"/>
    <col min="8" max="8" width="21.9296875" customWidth="1"/>
    <col min="9" max="9" width="24.86328125" customWidth="1"/>
    <col min="10" max="10" width="10.6640625" bestFit="1" customWidth="1"/>
    <col min="14" max="14" width="10.06640625" bestFit="1" customWidth="1"/>
    <col min="15" max="15" width="11.46484375" bestFit="1" customWidth="1"/>
    <col min="16" max="16" width="14.06640625" bestFit="1" customWidth="1"/>
    <col min="17" max="17" width="17.19921875" bestFit="1" customWidth="1"/>
  </cols>
  <sheetData>
    <row r="1" spans="1:17" x14ac:dyDescent="0.45">
      <c r="A1" t="s">
        <v>19</v>
      </c>
      <c r="B1" t="s">
        <v>0</v>
      </c>
      <c r="C1" t="s">
        <v>1</v>
      </c>
      <c r="D1" t="s">
        <v>2</v>
      </c>
      <c r="E1" t="s">
        <v>3</v>
      </c>
      <c r="F1" t="s">
        <v>4</v>
      </c>
      <c r="G1" t="s">
        <v>24</v>
      </c>
      <c r="H1" t="s">
        <v>5</v>
      </c>
      <c r="I1" t="s">
        <v>6</v>
      </c>
      <c r="J1" t="s">
        <v>32</v>
      </c>
      <c r="N1" t="s">
        <v>33</v>
      </c>
      <c r="O1" t="s">
        <v>30</v>
      </c>
      <c r="P1" t="s">
        <v>34</v>
      </c>
      <c r="Q1" t="s">
        <v>35</v>
      </c>
    </row>
    <row r="2" spans="1:17" x14ac:dyDescent="0.45">
      <c r="A2">
        <v>15000</v>
      </c>
      <c r="B2">
        <v>24</v>
      </c>
      <c r="C2">
        <v>10000</v>
      </c>
      <c r="D2">
        <v>12</v>
      </c>
      <c r="E2">
        <v>15000</v>
      </c>
      <c r="F2">
        <v>12</v>
      </c>
      <c r="G2">
        <v>625</v>
      </c>
      <c r="H2">
        <v>833.33</v>
      </c>
      <c r="I2">
        <v>1250</v>
      </c>
      <c r="J2" s="4">
        <v>45597</v>
      </c>
      <c r="N2" s="5">
        <v>45597</v>
      </c>
      <c r="O2">
        <v>15000</v>
      </c>
      <c r="P2">
        <v>0</v>
      </c>
      <c r="Q2">
        <v>0</v>
      </c>
    </row>
    <row r="3" spans="1:17" x14ac:dyDescent="0.45">
      <c r="N3" s="5">
        <v>45627</v>
      </c>
      <c r="O3">
        <v>14400</v>
      </c>
      <c r="P3">
        <v>500</v>
      </c>
      <c r="Q3">
        <v>500</v>
      </c>
    </row>
    <row r="4" spans="1:17" x14ac:dyDescent="0.45">
      <c r="N4" s="5">
        <v>45658</v>
      </c>
      <c r="O4">
        <v>13800</v>
      </c>
      <c r="P4">
        <v>1000</v>
      </c>
      <c r="Q4">
        <v>1000</v>
      </c>
    </row>
    <row r="5" spans="1:17" x14ac:dyDescent="0.45">
      <c r="N5" s="5">
        <v>45689</v>
      </c>
      <c r="O5">
        <v>14800</v>
      </c>
      <c r="P5">
        <v>2000</v>
      </c>
      <c r="Q5">
        <v>2000</v>
      </c>
    </row>
    <row r="6" spans="1:17" x14ac:dyDescent="0.45">
      <c r="N6" s="5">
        <v>45627</v>
      </c>
      <c r="O6">
        <v>14100</v>
      </c>
      <c r="P6">
        <v>2600</v>
      </c>
      <c r="Q6">
        <v>2500</v>
      </c>
    </row>
    <row r="7" spans="1:17" x14ac:dyDescent="0.45">
      <c r="N7" s="5"/>
    </row>
    <row r="8" spans="1:17" x14ac:dyDescent="0.45">
      <c r="N8" s="5"/>
    </row>
    <row r="9" spans="1:17" x14ac:dyDescent="0.45">
      <c r="N9" s="5"/>
    </row>
    <row r="10" spans="1:17" x14ac:dyDescent="0.45">
      <c r="N10" s="5"/>
    </row>
    <row r="11" spans="1:17" x14ac:dyDescent="0.45">
      <c r="N11" s="5"/>
    </row>
    <row r="12" spans="1:17" x14ac:dyDescent="0.45">
      <c r="N12" s="5"/>
    </row>
    <row r="13" spans="1:17" x14ac:dyDescent="0.45">
      <c r="N13" s="5"/>
    </row>
    <row r="14" spans="1:17" x14ac:dyDescent="0.45">
      <c r="N14" s="5"/>
    </row>
    <row r="15" spans="1:17" x14ac:dyDescent="0.45">
      <c r="N15" s="5"/>
    </row>
    <row r="16" spans="1:17" x14ac:dyDescent="0.45">
      <c r="N16" s="5"/>
    </row>
    <row r="17" spans="14:14" x14ac:dyDescent="0.45">
      <c r="N17" s="5"/>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OpenUserForm">
                <anchor moveWithCells="1" sizeWithCells="1">
                  <from>
                    <xdr:col>10</xdr:col>
                    <xdr:colOff>323850</xdr:colOff>
                    <xdr:row>6</xdr:row>
                    <xdr:rowOff>85725</xdr:rowOff>
                  </from>
                  <to>
                    <xdr:col>12</xdr:col>
                    <xdr:colOff>347663</xdr:colOff>
                    <xdr:row>12</xdr:row>
                    <xdr:rowOff>71438</xdr:rowOff>
                  </to>
                </anchor>
              </controlPr>
            </control>
          </mc:Choice>
        </mc:AlternateContent>
        <mc:AlternateContent xmlns:mc="http://schemas.openxmlformats.org/markup-compatibility/2006">
          <mc:Choice Requires="x14">
            <control shapeId="1026" r:id="rId4" name="Button 2">
              <controlPr defaultSize="0" print="0" autoFill="0" autoPict="0" macro="[0]!ClearGoals">
                <anchor moveWithCells="1" sizeWithCells="1">
                  <from>
                    <xdr:col>10</xdr:col>
                    <xdr:colOff>366713</xdr:colOff>
                    <xdr:row>13</xdr:row>
                    <xdr:rowOff>42863</xdr:rowOff>
                  </from>
                  <to>
                    <xdr:col>12</xdr:col>
                    <xdr:colOff>323850</xdr:colOff>
                    <xdr:row>16</xdr:row>
                    <xdr:rowOff>109538</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5DB38-1290-4CA4-8A86-C4EEE0070C9C}">
  <sheetPr codeName="Sheet4"/>
  <dimension ref="A1:D25"/>
  <sheetViews>
    <sheetView zoomScale="79" workbookViewId="0">
      <selection activeCell="G38" sqref="G38"/>
    </sheetView>
  </sheetViews>
  <sheetFormatPr defaultRowHeight="14.25" x14ac:dyDescent="0.45"/>
  <cols>
    <col min="1" max="2" width="9.86328125" customWidth="1"/>
    <col min="3" max="3" width="19.86328125" bestFit="1" customWidth="1"/>
    <col min="6" max="6" width="19.46484375" bestFit="1" customWidth="1"/>
    <col min="7" max="7" width="19.86328125" bestFit="1" customWidth="1"/>
    <col min="8" max="8" width="6.86328125" bestFit="1" customWidth="1"/>
  </cols>
  <sheetData>
    <row r="1" spans="1:4" ht="14.65" thickBot="1" x14ac:dyDescent="0.5">
      <c r="A1" s="3" t="s">
        <v>10</v>
      </c>
      <c r="B1" s="3" t="s">
        <v>29</v>
      </c>
      <c r="C1" s="3" t="s">
        <v>21</v>
      </c>
      <c r="D1" s="3" t="s">
        <v>20</v>
      </c>
    </row>
    <row r="2" spans="1:4" ht="14.65" thickBot="1" x14ac:dyDescent="0.5">
      <c r="A2" s="7">
        <v>45597</v>
      </c>
      <c r="B2" s="6">
        <v>1000</v>
      </c>
      <c r="C2" t="s">
        <v>26</v>
      </c>
      <c r="D2" t="str">
        <f>VLOOKUP(C2,'VLOOK UP VALUES'!$A$1:$B$14,2,FALSE)</f>
        <v>Income</v>
      </c>
    </row>
    <row r="3" spans="1:4" x14ac:dyDescent="0.45">
      <c r="A3" s="4">
        <v>45597</v>
      </c>
      <c r="B3">
        <v>2000</v>
      </c>
      <c r="C3" t="s">
        <v>25</v>
      </c>
      <c r="D3" t="str">
        <f>VLOOKUP(C3,'VLOOK UP VALUES'!$A$1:$B$14,2,FALSE)</f>
        <v>Income</v>
      </c>
    </row>
    <row r="4" spans="1:4" x14ac:dyDescent="0.45">
      <c r="A4" s="4">
        <v>45597</v>
      </c>
      <c r="B4">
        <v>2000</v>
      </c>
      <c r="C4" t="s">
        <v>9</v>
      </c>
      <c r="D4" t="str">
        <f>VLOOKUP(C4,'VLOOK UP VALUES'!$A$1:$B$14,2,FALSE)</f>
        <v>Income</v>
      </c>
    </row>
    <row r="5" spans="1:4" x14ac:dyDescent="0.45">
      <c r="A5" s="4">
        <v>45597</v>
      </c>
      <c r="B5">
        <v>1250</v>
      </c>
      <c r="C5" t="s">
        <v>11</v>
      </c>
      <c r="D5" t="str">
        <f>VLOOKUP(C5,'VLOOK UP VALUES'!$A$1:$B$14,2,FALSE)</f>
        <v>Expense</v>
      </c>
    </row>
    <row r="6" spans="1:4" x14ac:dyDescent="0.45">
      <c r="A6" s="4">
        <v>45597</v>
      </c>
      <c r="B6">
        <v>500</v>
      </c>
      <c r="C6" t="s">
        <v>12</v>
      </c>
      <c r="D6" t="str">
        <f>VLOOKUP(C6,'VLOOK UP VALUES'!$A$1:$B$14,2,FALSE)</f>
        <v>Expense</v>
      </c>
    </row>
    <row r="7" spans="1:4" x14ac:dyDescent="0.45">
      <c r="A7" s="4">
        <v>45597</v>
      </c>
      <c r="B7">
        <v>100</v>
      </c>
      <c r="C7" t="s">
        <v>27</v>
      </c>
      <c r="D7" t="str">
        <f>VLOOKUP(C7,'VLOOK UP VALUES'!$A$1:$B$14,2,FALSE)</f>
        <v>Expense</v>
      </c>
    </row>
    <row r="8" spans="1:4" x14ac:dyDescent="0.45">
      <c r="A8" s="4">
        <v>45597</v>
      </c>
      <c r="B8">
        <v>500</v>
      </c>
      <c r="C8" t="s">
        <v>28</v>
      </c>
      <c r="D8" t="str">
        <f>VLOOKUP(C8,'VLOOK UP VALUES'!$A$1:$B$14,2,FALSE)</f>
        <v>Expense</v>
      </c>
    </row>
    <row r="9" spans="1:4" x14ac:dyDescent="0.45">
      <c r="A9" s="4">
        <v>45597</v>
      </c>
      <c r="B9">
        <v>300</v>
      </c>
      <c r="C9" t="s">
        <v>31</v>
      </c>
      <c r="D9" t="str">
        <f>VLOOKUP(C9,'VLOOK UP VALUES'!$A$1:$B$14,2,FALSE)</f>
        <v>Expense</v>
      </c>
    </row>
    <row r="10" spans="1:4" x14ac:dyDescent="0.45">
      <c r="A10" s="4">
        <v>45627</v>
      </c>
      <c r="B10">
        <v>1500</v>
      </c>
      <c r="C10" t="s">
        <v>26</v>
      </c>
      <c r="D10" t="str">
        <f>VLOOKUP(C10,'VLOOK UP VALUES'!$A$1:$B$14,2,FALSE)</f>
        <v>Income</v>
      </c>
    </row>
    <row r="11" spans="1:4" x14ac:dyDescent="0.45">
      <c r="A11" s="4">
        <v>45627</v>
      </c>
      <c r="B11">
        <v>1750</v>
      </c>
      <c r="C11" t="s">
        <v>25</v>
      </c>
      <c r="D11" t="str">
        <f>VLOOKUP(C11,'VLOOK UP VALUES'!$A$1:$B$14,2,FALSE)</f>
        <v>Income</v>
      </c>
    </row>
    <row r="12" spans="1:4" x14ac:dyDescent="0.45">
      <c r="A12" s="4">
        <v>45627</v>
      </c>
      <c r="B12">
        <v>500</v>
      </c>
      <c r="C12" t="s">
        <v>9</v>
      </c>
      <c r="D12" t="str">
        <f>VLOOKUP(C12,'VLOOK UP VALUES'!$A$1:$B$14,2,FALSE)</f>
        <v>Income</v>
      </c>
    </row>
    <row r="13" spans="1:4" x14ac:dyDescent="0.45">
      <c r="A13" s="4">
        <v>45627</v>
      </c>
      <c r="B13">
        <v>1250</v>
      </c>
      <c r="C13" t="s">
        <v>11</v>
      </c>
      <c r="D13" t="str">
        <f>VLOOKUP(C13,'VLOOK UP VALUES'!$A$1:$B$14,2,FALSE)</f>
        <v>Expense</v>
      </c>
    </row>
    <row r="14" spans="1:4" x14ac:dyDescent="0.45">
      <c r="A14" s="4">
        <v>45627</v>
      </c>
      <c r="B14">
        <v>350</v>
      </c>
      <c r="C14" t="s">
        <v>12</v>
      </c>
      <c r="D14" t="str">
        <f>VLOOKUP(C14,'VLOOK UP VALUES'!$A$1:$B$14,2,FALSE)</f>
        <v>Expense</v>
      </c>
    </row>
    <row r="15" spans="1:4" x14ac:dyDescent="0.45">
      <c r="A15" s="4">
        <v>45627</v>
      </c>
      <c r="B15">
        <v>100</v>
      </c>
      <c r="C15" t="s">
        <v>27</v>
      </c>
      <c r="D15" t="str">
        <f>VLOOKUP(C15,'VLOOK UP VALUES'!$A$1:$B$14,2,FALSE)</f>
        <v>Expense</v>
      </c>
    </row>
    <row r="16" spans="1:4" x14ac:dyDescent="0.45">
      <c r="A16" s="4">
        <v>45627</v>
      </c>
      <c r="B16">
        <v>50.45</v>
      </c>
      <c r="C16" t="s">
        <v>28</v>
      </c>
      <c r="D16" t="str">
        <f>VLOOKUP(C16,'VLOOK UP VALUES'!$A$1:$B$14,2,FALSE)</f>
        <v>Expense</v>
      </c>
    </row>
    <row r="17" spans="1:4" x14ac:dyDescent="0.45">
      <c r="A17" s="4">
        <v>45627</v>
      </c>
      <c r="B17">
        <v>66</v>
      </c>
      <c r="C17" t="s">
        <v>31</v>
      </c>
      <c r="D17" t="str">
        <f>VLOOKUP(C17,'VLOOK UP VALUES'!$A$1:$B$14,2,FALSE)</f>
        <v>Expense</v>
      </c>
    </row>
    <row r="18" spans="1:4" x14ac:dyDescent="0.45">
      <c r="A18" s="4"/>
    </row>
    <row r="19" spans="1:4" x14ac:dyDescent="0.45">
      <c r="A19" s="4"/>
    </row>
    <row r="20" spans="1:4" x14ac:dyDescent="0.45">
      <c r="A20" s="4"/>
    </row>
    <row r="21" spans="1:4" x14ac:dyDescent="0.45">
      <c r="A21" s="4"/>
    </row>
    <row r="22" spans="1:4" x14ac:dyDescent="0.45">
      <c r="A22" s="4"/>
    </row>
    <row r="23" spans="1:4" x14ac:dyDescent="0.45">
      <c r="A23" s="4"/>
    </row>
    <row r="24" spans="1:4" x14ac:dyDescent="0.45">
      <c r="A24" s="4"/>
    </row>
    <row r="25" spans="1:4" x14ac:dyDescent="0.45">
      <c r="A25" s="4"/>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Inputform1">
                <anchor moveWithCells="1" sizeWithCells="1">
                  <from>
                    <xdr:col>5</xdr:col>
                    <xdr:colOff>157163</xdr:colOff>
                    <xdr:row>1</xdr:row>
                    <xdr:rowOff>71438</xdr:rowOff>
                  </from>
                  <to>
                    <xdr:col>6</xdr:col>
                    <xdr:colOff>495300</xdr:colOff>
                    <xdr:row>5</xdr:row>
                    <xdr:rowOff>147638</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DFD02-1D62-4126-809D-45CFAA6380FA}">
  <sheetPr codeName="Sheet5"/>
  <dimension ref="A1:AB15"/>
  <sheetViews>
    <sheetView topLeftCell="M1" zoomScale="85" zoomScaleNormal="85" workbookViewId="0">
      <selection activeCell="Z24" sqref="Z24"/>
    </sheetView>
  </sheetViews>
  <sheetFormatPr defaultRowHeight="14.25" x14ac:dyDescent="0.45"/>
  <cols>
    <col min="2" max="2" width="16.73046875" customWidth="1"/>
    <col min="5" max="5" width="14.19921875" customWidth="1"/>
    <col min="6" max="6" width="13.59765625" customWidth="1"/>
    <col min="7" max="7" width="14.59765625" customWidth="1"/>
    <col min="8" max="8" width="15.3984375" customWidth="1"/>
    <col min="9" max="9" width="22.06640625" customWidth="1"/>
    <col min="10" max="10" width="10.06640625" customWidth="1"/>
    <col min="11" max="11" width="12.33203125" customWidth="1"/>
    <col min="12" max="12" width="15.6640625" customWidth="1"/>
    <col min="17" max="18" width="9.9296875" customWidth="1"/>
    <col min="21" max="21" width="8.53125" bestFit="1" customWidth="1"/>
    <col min="22" max="22" width="11.46484375" bestFit="1" customWidth="1"/>
    <col min="23" max="23" width="12.9296875" bestFit="1" customWidth="1"/>
    <col min="26" max="26" width="12.53125" bestFit="1" customWidth="1"/>
    <col min="27" max="27" width="17.53125" bestFit="1" customWidth="1"/>
    <col min="28" max="28" width="19.1328125" bestFit="1" customWidth="1"/>
  </cols>
  <sheetData>
    <row r="1" spans="1:28" x14ac:dyDescent="0.45">
      <c r="A1" t="s">
        <v>10</v>
      </c>
      <c r="B1" t="s">
        <v>7</v>
      </c>
      <c r="C1" t="s">
        <v>8</v>
      </c>
      <c r="D1" t="s">
        <v>9</v>
      </c>
      <c r="E1" t="s">
        <v>11</v>
      </c>
      <c r="F1" t="s">
        <v>12</v>
      </c>
      <c r="G1" t="s">
        <v>13</v>
      </c>
      <c r="H1" t="s">
        <v>14</v>
      </c>
      <c r="I1" t="s">
        <v>15</v>
      </c>
      <c r="J1" t="s">
        <v>16</v>
      </c>
      <c r="K1" t="s">
        <v>17</v>
      </c>
      <c r="L1" t="s">
        <v>18</v>
      </c>
      <c r="U1" t="s">
        <v>10</v>
      </c>
      <c r="V1" t="s">
        <v>37</v>
      </c>
      <c r="W1" t="s">
        <v>38</v>
      </c>
      <c r="AA1" s="9" t="s">
        <v>42</v>
      </c>
    </row>
    <row r="2" spans="1:28" x14ac:dyDescent="0.45">
      <c r="A2" s="4">
        <v>45597</v>
      </c>
      <c r="B2">
        <v>2000</v>
      </c>
      <c r="C2">
        <v>1750</v>
      </c>
      <c r="D2">
        <v>500</v>
      </c>
      <c r="E2">
        <v>1250</v>
      </c>
      <c r="F2">
        <v>450</v>
      </c>
      <c r="G2">
        <v>200</v>
      </c>
      <c r="H2">
        <v>50</v>
      </c>
      <c r="I2">
        <v>500</v>
      </c>
      <c r="J2">
        <v>700</v>
      </c>
      <c r="K2">
        <v>600</v>
      </c>
      <c r="L2">
        <v>500</v>
      </c>
      <c r="N2" s="4"/>
      <c r="U2" s="8">
        <v>45597</v>
      </c>
      <c r="V2">
        <v>4250</v>
      </c>
      <c r="W2">
        <v>2450</v>
      </c>
      <c r="Z2" s="9" t="s">
        <v>39</v>
      </c>
      <c r="AA2" t="s">
        <v>41</v>
      </c>
      <c r="AB2" t="s">
        <v>43</v>
      </c>
    </row>
    <row r="3" spans="1:28" x14ac:dyDescent="0.45">
      <c r="A3" s="4"/>
      <c r="U3" s="8"/>
      <c r="Z3" s="12">
        <v>45597</v>
      </c>
      <c r="AA3" s="10">
        <v>4250</v>
      </c>
      <c r="AB3" s="10">
        <v>2450</v>
      </c>
    </row>
    <row r="4" spans="1:28" x14ac:dyDescent="0.45">
      <c r="A4" s="4"/>
      <c r="U4" s="8"/>
      <c r="Z4" s="12" t="s">
        <v>40</v>
      </c>
      <c r="AA4" s="10">
        <v>4250</v>
      </c>
      <c r="AB4" s="10">
        <v>2450</v>
      </c>
    </row>
    <row r="5" spans="1:28" x14ac:dyDescent="0.45">
      <c r="A5" s="4"/>
      <c r="U5" s="8"/>
    </row>
    <row r="6" spans="1:28" x14ac:dyDescent="0.45">
      <c r="A6" s="4"/>
      <c r="U6" s="8"/>
    </row>
    <row r="7" spans="1:28" x14ac:dyDescent="0.45">
      <c r="A7" s="4"/>
      <c r="U7" s="8"/>
    </row>
    <row r="8" spans="1:28" x14ac:dyDescent="0.45">
      <c r="A8" s="4"/>
      <c r="U8" s="8"/>
    </row>
    <row r="9" spans="1:28" x14ac:dyDescent="0.45">
      <c r="A9" s="4"/>
      <c r="U9" s="8"/>
    </row>
    <row r="10" spans="1:28" x14ac:dyDescent="0.45">
      <c r="A10" s="4"/>
      <c r="U10" s="8"/>
    </row>
    <row r="11" spans="1:28" x14ac:dyDescent="0.45">
      <c r="A11" s="4"/>
      <c r="U11" s="8"/>
    </row>
    <row r="12" spans="1:28" x14ac:dyDescent="0.45">
      <c r="A12" s="4"/>
      <c r="U12" s="8"/>
    </row>
    <row r="13" spans="1:28" x14ac:dyDescent="0.45">
      <c r="A13" s="4"/>
      <c r="U13" s="8"/>
    </row>
    <row r="14" spans="1:28" x14ac:dyDescent="0.45">
      <c r="A14" s="4"/>
      <c r="U14" s="8"/>
    </row>
    <row r="15" spans="1:28" x14ac:dyDescent="0.45">
      <c r="A15" s="4"/>
      <c r="U15" s="8"/>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Inputform2">
                <anchor moveWithCells="1" sizeWithCells="1">
                  <from>
                    <xdr:col>13</xdr:col>
                    <xdr:colOff>33338</xdr:colOff>
                    <xdr:row>6</xdr:row>
                    <xdr:rowOff>119063</xdr:rowOff>
                  </from>
                  <to>
                    <xdr:col>15</xdr:col>
                    <xdr:colOff>371475</xdr:colOff>
                    <xdr:row>11</xdr:row>
                    <xdr:rowOff>19050</xdr:rowOff>
                  </to>
                </anchor>
              </controlPr>
            </control>
          </mc:Choice>
        </mc:AlternateContent>
        <mc:AlternateContent xmlns:mc="http://schemas.openxmlformats.org/markup-compatibility/2006">
          <mc:Choice Requires="x14">
            <control shapeId="5122" r:id="rId6" name="Button 2">
              <controlPr defaultSize="0" print="0" autoFill="0" autoPict="0" macro="[0]!Clearinput2">
                <anchor moveWithCells="1" sizeWithCells="1">
                  <from>
                    <xdr:col>13</xdr:col>
                    <xdr:colOff>23813</xdr:colOff>
                    <xdr:row>12</xdr:row>
                    <xdr:rowOff>66675</xdr:rowOff>
                  </from>
                  <to>
                    <xdr:col>15</xdr:col>
                    <xdr:colOff>400050</xdr:colOff>
                    <xdr:row>16</xdr:row>
                    <xdr:rowOff>28575</xdr:rowOff>
                  </to>
                </anchor>
              </controlPr>
            </control>
          </mc:Choice>
        </mc:AlternateContent>
        <mc:AlternateContent xmlns:mc="http://schemas.openxmlformats.org/markup-compatibility/2006">
          <mc:Choice Requires="x14">
            <control shapeId="5123" r:id="rId7" name="Button 3">
              <controlPr defaultSize="0" print="0" autoFill="0" autoPict="0" macro="[0]!CompareValues">
                <anchor moveWithCells="1" sizeWithCells="1">
                  <from>
                    <xdr:col>13</xdr:col>
                    <xdr:colOff>171450</xdr:colOff>
                    <xdr:row>17</xdr:row>
                    <xdr:rowOff>114300</xdr:rowOff>
                  </from>
                  <to>
                    <xdr:col>16</xdr:col>
                    <xdr:colOff>4763</xdr:colOff>
                    <xdr:row>21</xdr:row>
                    <xdr:rowOff>100013</xdr:rowOff>
                  </to>
                </anchor>
              </controlPr>
            </control>
          </mc:Choice>
        </mc:AlternateContent>
      </controls>
    </mc:Choice>
  </mc:AlternateContent>
  <tableParts count="2">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750D9-D493-4EBD-BACB-4D40A35E7071}">
  <sheetPr codeName="Sheet10"/>
  <dimension ref="A1:Z45"/>
  <sheetViews>
    <sheetView showGridLines="0" tabSelected="1" topLeftCell="A6" zoomScale="46" zoomScaleNormal="100" workbookViewId="0">
      <selection activeCell="AB45" sqref="AB45"/>
    </sheetView>
  </sheetViews>
  <sheetFormatPr defaultRowHeight="30" customHeight="1" x14ac:dyDescent="0.45"/>
  <cols>
    <col min="1" max="1" width="24.73046875" bestFit="1" customWidth="1"/>
    <col min="2" max="2" width="30.33203125" bestFit="1" customWidth="1"/>
    <col min="3" max="3" width="11.796875" bestFit="1" customWidth="1"/>
  </cols>
  <sheetData>
    <row r="1" spans="1:26" ht="30" customHeight="1" x14ac:dyDescent="0.45">
      <c r="A1" s="17" t="s">
        <v>44</v>
      </c>
      <c r="B1" s="17"/>
      <c r="C1" s="17"/>
      <c r="D1" s="17"/>
      <c r="E1" s="17"/>
      <c r="F1" s="17"/>
      <c r="G1" s="17"/>
      <c r="H1" s="17"/>
      <c r="I1" s="17"/>
      <c r="J1" s="17"/>
      <c r="K1" s="17"/>
      <c r="L1" s="17"/>
      <c r="M1" s="17"/>
      <c r="N1" s="17"/>
      <c r="O1" s="17"/>
      <c r="P1" s="17"/>
      <c r="Q1" s="17"/>
      <c r="R1" s="17"/>
      <c r="S1" s="17"/>
      <c r="T1" s="17"/>
      <c r="U1" s="17"/>
      <c r="V1" s="17"/>
      <c r="W1" s="17"/>
      <c r="X1" s="17"/>
      <c r="Y1" s="17"/>
      <c r="Z1" s="17"/>
    </row>
    <row r="2" spans="1:26" ht="30" customHeight="1" x14ac:dyDescent="0.45">
      <c r="A2" s="11"/>
      <c r="B2" s="11"/>
      <c r="C2" s="11"/>
      <c r="D2" s="11"/>
      <c r="E2" s="11"/>
      <c r="F2" s="11"/>
      <c r="G2" s="11"/>
      <c r="H2" s="11"/>
      <c r="I2" s="11"/>
      <c r="J2" s="11"/>
      <c r="K2" s="11"/>
      <c r="L2" s="11"/>
      <c r="M2" s="11"/>
      <c r="N2" s="11"/>
      <c r="O2" s="11"/>
      <c r="P2" s="11"/>
      <c r="Q2" s="11"/>
      <c r="R2" s="11"/>
      <c r="S2" s="11"/>
      <c r="T2" s="11"/>
      <c r="U2" s="22" t="s">
        <v>42</v>
      </c>
      <c r="V2" s="22"/>
      <c r="W2" s="22"/>
      <c r="X2" s="22" t="s">
        <v>45</v>
      </c>
      <c r="Y2" s="22"/>
      <c r="Z2" s="22"/>
    </row>
    <row r="3" spans="1:26" ht="30" customHeight="1" x14ac:dyDescent="0.65">
      <c r="A3" s="14" t="s">
        <v>21</v>
      </c>
      <c r="B3" s="14" t="s">
        <v>57</v>
      </c>
      <c r="C3" s="14" t="s">
        <v>58</v>
      </c>
      <c r="D3" s="11"/>
      <c r="E3" s="11" t="s">
        <v>9</v>
      </c>
      <c r="F3" s="11"/>
      <c r="G3" s="11">
        <v>3750</v>
      </c>
      <c r="H3" s="11"/>
      <c r="I3" s="11"/>
      <c r="J3" s="11"/>
      <c r="K3" s="11"/>
      <c r="L3" s="11"/>
      <c r="M3" s="11"/>
      <c r="N3" s="11"/>
      <c r="O3" s="11"/>
      <c r="P3" s="11"/>
      <c r="Q3" s="11"/>
      <c r="R3" s="11"/>
      <c r="S3" s="11"/>
      <c r="T3" s="11"/>
      <c r="U3" s="20" t="s">
        <v>47</v>
      </c>
      <c r="V3" s="20"/>
      <c r="W3" s="20"/>
      <c r="X3" s="11"/>
      <c r="Y3" s="11"/>
      <c r="Z3" s="11"/>
    </row>
    <row r="4" spans="1:26" ht="30" customHeight="1" x14ac:dyDescent="0.65">
      <c r="A4" s="13" t="s">
        <v>9</v>
      </c>
      <c r="B4" s="13"/>
      <c r="C4" s="13"/>
      <c r="D4" s="11"/>
      <c r="E4" s="11" t="s">
        <v>26</v>
      </c>
      <c r="F4" s="11" t="s">
        <v>9</v>
      </c>
      <c r="G4" s="11">
        <v>1500</v>
      </c>
      <c r="H4" s="11"/>
      <c r="I4" s="11"/>
      <c r="J4" s="11"/>
      <c r="K4" s="11"/>
      <c r="L4" s="11"/>
      <c r="M4" s="11"/>
      <c r="N4" s="11"/>
      <c r="O4" s="11"/>
      <c r="P4" s="11"/>
      <c r="Q4" s="11"/>
      <c r="R4" s="11"/>
      <c r="S4" s="11"/>
      <c r="T4" s="11"/>
      <c r="U4" s="16">
        <v>14100</v>
      </c>
      <c r="V4" s="16"/>
      <c r="W4" s="16"/>
      <c r="X4" s="11"/>
      <c r="Y4" s="11"/>
      <c r="Z4" s="11"/>
    </row>
    <row r="5" spans="1:26" ht="30" customHeight="1" x14ac:dyDescent="0.65">
      <c r="A5" s="13"/>
      <c r="B5" s="13" t="s">
        <v>26</v>
      </c>
      <c r="C5" s="13">
        <v>1500</v>
      </c>
      <c r="D5" s="11"/>
      <c r="E5" s="11" t="s">
        <v>25</v>
      </c>
      <c r="F5" s="11" t="s">
        <v>9</v>
      </c>
      <c r="G5" s="11">
        <v>1750</v>
      </c>
      <c r="H5" s="11"/>
      <c r="I5" s="11"/>
      <c r="J5" s="11"/>
      <c r="K5" s="11"/>
      <c r="L5" s="11"/>
      <c r="M5" s="11"/>
      <c r="N5" s="11"/>
      <c r="O5" s="11"/>
      <c r="P5" s="11"/>
      <c r="Q5" s="11"/>
      <c r="R5" s="11"/>
      <c r="S5" s="11"/>
      <c r="T5" s="11"/>
      <c r="U5" s="16"/>
      <c r="V5" s="16"/>
      <c r="W5" s="16"/>
      <c r="X5" s="11"/>
      <c r="Y5" s="11"/>
      <c r="Z5" s="11"/>
    </row>
    <row r="6" spans="1:26" ht="30" customHeight="1" x14ac:dyDescent="0.65">
      <c r="A6" s="13"/>
      <c r="B6" s="13" t="s">
        <v>25</v>
      </c>
      <c r="C6" s="13">
        <v>1750</v>
      </c>
      <c r="D6" s="11"/>
      <c r="E6" s="11" t="s">
        <v>9</v>
      </c>
      <c r="F6" s="11" t="s">
        <v>9</v>
      </c>
      <c r="G6" s="11">
        <v>500</v>
      </c>
      <c r="H6" s="11"/>
      <c r="I6" s="11"/>
      <c r="J6" s="11"/>
      <c r="K6" s="11"/>
      <c r="L6" s="11"/>
      <c r="M6" s="11"/>
      <c r="N6" s="11"/>
      <c r="O6" s="11"/>
      <c r="P6" s="11"/>
      <c r="Q6" s="11"/>
      <c r="R6" s="11"/>
      <c r="S6" s="11"/>
      <c r="T6" s="11"/>
      <c r="U6" s="20" t="s">
        <v>48</v>
      </c>
      <c r="V6" s="20"/>
      <c r="W6" s="20"/>
      <c r="X6" s="11"/>
      <c r="Y6" s="11"/>
      <c r="Z6" s="11"/>
    </row>
    <row r="7" spans="1:26" ht="30" customHeight="1" x14ac:dyDescent="0.65">
      <c r="A7" s="13"/>
      <c r="B7" s="13" t="s">
        <v>9</v>
      </c>
      <c r="C7" s="13">
        <v>500</v>
      </c>
      <c r="D7" s="11"/>
      <c r="E7" s="11" t="s">
        <v>36</v>
      </c>
      <c r="F7" s="11"/>
      <c r="G7" s="11">
        <v>1816.45</v>
      </c>
      <c r="H7" s="11"/>
      <c r="I7" s="11"/>
      <c r="J7" s="11"/>
      <c r="K7" s="11"/>
      <c r="L7" s="11"/>
      <c r="M7" s="11"/>
      <c r="N7" s="11"/>
      <c r="O7" s="11"/>
      <c r="P7" s="11"/>
      <c r="Q7" s="11"/>
      <c r="R7" s="11"/>
      <c r="S7" s="11"/>
      <c r="T7" s="11"/>
      <c r="U7" s="16">
        <v>625</v>
      </c>
      <c r="V7" s="16"/>
      <c r="W7" s="16"/>
      <c r="X7" s="11"/>
      <c r="Y7" s="11"/>
      <c r="Z7" s="11"/>
    </row>
    <row r="8" spans="1:26" ht="30" customHeight="1" x14ac:dyDescent="0.65">
      <c r="A8" s="13" t="s">
        <v>36</v>
      </c>
      <c r="B8" s="13"/>
      <c r="C8" s="13"/>
      <c r="D8" s="11"/>
      <c r="E8" s="11" t="s">
        <v>11</v>
      </c>
      <c r="F8" s="11" t="s">
        <v>22</v>
      </c>
      <c r="G8" s="11">
        <v>1250</v>
      </c>
      <c r="H8" s="11"/>
      <c r="I8" s="11"/>
      <c r="J8" s="11"/>
      <c r="K8" s="11"/>
      <c r="L8" s="11"/>
      <c r="M8" s="11"/>
      <c r="N8" s="11"/>
      <c r="O8" s="11"/>
      <c r="P8" s="11"/>
      <c r="Q8" s="11"/>
      <c r="R8" s="11"/>
      <c r="S8" s="11"/>
      <c r="T8" s="11"/>
      <c r="U8" s="16"/>
      <c r="V8" s="16"/>
      <c r="W8" s="16"/>
      <c r="X8" s="11"/>
      <c r="Y8" s="11"/>
      <c r="Z8" s="11"/>
    </row>
    <row r="9" spans="1:26" ht="30" customHeight="1" x14ac:dyDescent="0.65">
      <c r="A9" s="13"/>
      <c r="B9" s="13" t="s">
        <v>11</v>
      </c>
      <c r="C9" s="13">
        <v>1250</v>
      </c>
      <c r="D9" s="11"/>
      <c r="E9" s="11" t="s">
        <v>12</v>
      </c>
      <c r="F9" s="11" t="s">
        <v>22</v>
      </c>
      <c r="G9" s="11">
        <v>350</v>
      </c>
      <c r="H9" s="11"/>
      <c r="I9" s="11"/>
      <c r="J9" s="11"/>
      <c r="K9" s="11"/>
      <c r="L9" s="11"/>
      <c r="M9" s="11"/>
      <c r="N9" s="11"/>
      <c r="O9" s="11"/>
      <c r="P9" s="11"/>
      <c r="Q9" s="11"/>
      <c r="R9" s="11"/>
      <c r="S9" s="11"/>
      <c r="T9" s="11"/>
      <c r="U9" s="20" t="s">
        <v>49</v>
      </c>
      <c r="V9" s="20"/>
      <c r="W9" s="20"/>
      <c r="X9" s="11"/>
      <c r="Y9" s="11"/>
      <c r="Z9" s="11"/>
    </row>
    <row r="10" spans="1:26" ht="30" customHeight="1" x14ac:dyDescent="0.65">
      <c r="A10" s="13"/>
      <c r="B10" s="13" t="s">
        <v>12</v>
      </c>
      <c r="C10" s="13">
        <v>350</v>
      </c>
      <c r="D10" s="11"/>
      <c r="E10" s="11" t="s">
        <v>27</v>
      </c>
      <c r="F10" s="11" t="s">
        <v>22</v>
      </c>
      <c r="G10" s="11">
        <v>100</v>
      </c>
      <c r="H10" s="11"/>
      <c r="I10" s="11"/>
      <c r="J10" s="11"/>
      <c r="K10" s="11"/>
      <c r="L10" s="11"/>
      <c r="M10" s="11"/>
      <c r="N10" s="11"/>
      <c r="O10" s="11"/>
      <c r="P10" s="11"/>
      <c r="Q10" s="11"/>
      <c r="R10" s="11"/>
      <c r="S10" s="11"/>
      <c r="T10" s="11"/>
      <c r="U10" s="16">
        <v>10000</v>
      </c>
      <c r="V10" s="16"/>
      <c r="W10" s="16"/>
      <c r="X10" s="11"/>
      <c r="Y10" s="11"/>
      <c r="Z10" s="11"/>
    </row>
    <row r="11" spans="1:26" ht="30" customHeight="1" x14ac:dyDescent="0.65">
      <c r="A11" s="13"/>
      <c r="B11" s="13" t="s">
        <v>27</v>
      </c>
      <c r="C11" s="13">
        <v>100</v>
      </c>
      <c r="D11" s="11"/>
      <c r="E11" s="11" t="s">
        <v>28</v>
      </c>
      <c r="F11" s="11" t="s">
        <v>22</v>
      </c>
      <c r="G11" s="11">
        <v>50.45</v>
      </c>
      <c r="H11" s="11"/>
      <c r="I11" s="11"/>
      <c r="J11" s="11"/>
      <c r="K11" s="11"/>
      <c r="L11" s="11"/>
      <c r="M11" s="11"/>
      <c r="N11" s="11"/>
      <c r="O11" s="11"/>
      <c r="P11" s="11"/>
      <c r="Q11" s="11"/>
      <c r="R11" s="11"/>
      <c r="S11" s="11"/>
      <c r="T11" s="11"/>
      <c r="U11" s="16"/>
      <c r="V11" s="16"/>
      <c r="W11" s="16"/>
      <c r="X11" s="11"/>
      <c r="Y11" s="11"/>
      <c r="Z11" s="11"/>
    </row>
    <row r="12" spans="1:26" ht="30" customHeight="1" x14ac:dyDescent="0.65">
      <c r="A12" s="13"/>
      <c r="B12" s="13" t="s">
        <v>28</v>
      </c>
      <c r="C12" s="13">
        <v>50.45</v>
      </c>
      <c r="D12" s="11"/>
      <c r="E12" s="11" t="s">
        <v>31</v>
      </c>
      <c r="F12" s="11" t="s">
        <v>22</v>
      </c>
      <c r="G12" s="11">
        <v>66</v>
      </c>
      <c r="H12" s="11"/>
      <c r="I12" s="11"/>
      <c r="J12" s="11"/>
      <c r="K12" s="11"/>
      <c r="L12" s="11"/>
      <c r="M12" s="11"/>
      <c r="N12" s="11"/>
      <c r="O12" s="11"/>
      <c r="P12" s="11"/>
      <c r="Q12" s="11"/>
      <c r="R12" s="11"/>
      <c r="S12" s="11"/>
      <c r="T12" s="11"/>
      <c r="U12" s="20" t="s">
        <v>50</v>
      </c>
      <c r="V12" s="20"/>
      <c r="W12" s="20"/>
      <c r="X12" s="11"/>
      <c r="Y12" s="11"/>
      <c r="Z12" s="11"/>
    </row>
    <row r="13" spans="1:26" ht="30" customHeight="1" x14ac:dyDescent="0.65">
      <c r="A13" s="13"/>
      <c r="B13" s="13" t="s">
        <v>31</v>
      </c>
      <c r="C13" s="13">
        <v>66</v>
      </c>
      <c r="D13" s="11"/>
      <c r="E13" s="11" t="s">
        <v>59</v>
      </c>
      <c r="F13" s="11"/>
      <c r="G13" s="11">
        <v>625</v>
      </c>
      <c r="H13" s="11"/>
      <c r="I13" s="11"/>
      <c r="J13" s="11"/>
      <c r="K13" s="11"/>
      <c r="L13" s="11"/>
      <c r="M13" s="11"/>
      <c r="N13" s="11"/>
      <c r="O13" s="11"/>
      <c r="P13" s="11"/>
      <c r="Q13" s="11"/>
      <c r="R13" s="11"/>
      <c r="S13" s="11"/>
      <c r="T13" s="11"/>
      <c r="U13" s="16">
        <v>2600</v>
      </c>
      <c r="V13" s="16"/>
      <c r="W13" s="16"/>
      <c r="X13" s="11"/>
      <c r="Y13" s="11"/>
      <c r="Z13" s="11"/>
    </row>
    <row r="14" spans="1:26" ht="30" customHeight="1" x14ac:dyDescent="0.65">
      <c r="A14" s="13" t="s">
        <v>59</v>
      </c>
      <c r="B14" s="13"/>
      <c r="C14" s="13">
        <v>625</v>
      </c>
      <c r="D14" s="11"/>
      <c r="E14" s="11" t="s">
        <v>60</v>
      </c>
      <c r="F14" s="11"/>
      <c r="G14" s="11">
        <v>833.33</v>
      </c>
      <c r="H14" s="11"/>
      <c r="I14" s="11"/>
      <c r="J14" s="11"/>
      <c r="K14" s="11"/>
      <c r="L14" s="11"/>
      <c r="M14" s="11"/>
      <c r="N14" s="11"/>
      <c r="O14" s="11"/>
      <c r="P14" s="11"/>
      <c r="Q14" s="11"/>
      <c r="R14" s="11"/>
      <c r="S14" s="11"/>
      <c r="T14" s="11"/>
      <c r="U14" s="16"/>
      <c r="V14" s="16"/>
      <c r="W14" s="16"/>
      <c r="X14" s="11"/>
      <c r="Y14" s="11"/>
      <c r="Z14" s="11"/>
    </row>
    <row r="15" spans="1:26" ht="30" customHeight="1" x14ac:dyDescent="0.65">
      <c r="A15" s="13" t="s">
        <v>60</v>
      </c>
      <c r="B15" s="13"/>
      <c r="C15" s="13">
        <v>833.33</v>
      </c>
      <c r="D15" s="11"/>
      <c r="E15" s="11" t="s">
        <v>61</v>
      </c>
      <c r="F15" s="11"/>
      <c r="G15" s="11">
        <v>1250</v>
      </c>
      <c r="H15" s="11"/>
      <c r="I15" s="11"/>
      <c r="J15" s="11"/>
      <c r="K15" s="11"/>
      <c r="L15" s="11"/>
      <c r="M15" s="11"/>
      <c r="N15" s="11"/>
      <c r="O15" s="11"/>
      <c r="P15" s="11"/>
      <c r="Q15" s="11"/>
      <c r="R15" s="11"/>
      <c r="S15" s="11"/>
      <c r="T15" s="11"/>
      <c r="U15" s="21" t="s">
        <v>51</v>
      </c>
      <c r="V15" s="21"/>
      <c r="W15" s="21"/>
      <c r="X15" s="11"/>
      <c r="Y15" s="11"/>
      <c r="Z15" s="11"/>
    </row>
    <row r="16" spans="1:26" ht="30" customHeight="1" x14ac:dyDescent="0.65">
      <c r="A16" s="13" t="s">
        <v>61</v>
      </c>
      <c r="B16" s="13"/>
      <c r="C16" s="13">
        <v>1250</v>
      </c>
      <c r="D16" s="11"/>
      <c r="E16" s="11" t="s">
        <v>62</v>
      </c>
      <c r="F16" s="11"/>
      <c r="G16" s="11">
        <v>-774.78000000000009</v>
      </c>
      <c r="H16" s="11"/>
      <c r="I16" s="11"/>
      <c r="J16" s="11"/>
      <c r="K16" s="11"/>
      <c r="L16" s="11"/>
      <c r="M16" s="11"/>
      <c r="N16" s="11"/>
      <c r="O16" s="11"/>
      <c r="P16" s="11"/>
      <c r="Q16" s="11"/>
      <c r="R16" s="11"/>
      <c r="S16" s="11"/>
      <c r="T16" s="11"/>
      <c r="U16" s="23">
        <v>833.33</v>
      </c>
      <c r="V16" s="23"/>
      <c r="W16" s="23"/>
      <c r="X16" s="11"/>
      <c r="Y16" s="11"/>
      <c r="Z16" s="11"/>
    </row>
    <row r="17" spans="1:26" ht="30" customHeight="1" x14ac:dyDescent="0.7">
      <c r="A17" s="15" t="s">
        <v>62</v>
      </c>
      <c r="B17" s="15"/>
      <c r="C17" s="15">
        <v>-774.78000000000009</v>
      </c>
      <c r="D17" s="11"/>
      <c r="E17" s="11"/>
      <c r="F17" s="11"/>
      <c r="G17" s="11"/>
      <c r="H17" s="11"/>
      <c r="I17" s="11"/>
      <c r="J17" s="11"/>
      <c r="K17" s="11"/>
      <c r="L17" s="11"/>
      <c r="M17" s="11"/>
      <c r="N17" s="11"/>
      <c r="O17" s="11"/>
      <c r="P17" s="11"/>
      <c r="Q17" s="11"/>
      <c r="R17" s="11"/>
      <c r="S17" s="11"/>
      <c r="T17" s="11"/>
      <c r="U17" s="23"/>
      <c r="V17" s="23"/>
      <c r="W17" s="23"/>
      <c r="X17" s="11"/>
      <c r="Y17" s="11"/>
      <c r="Z17" s="11"/>
    </row>
    <row r="18" spans="1:26" ht="30" customHeight="1" x14ac:dyDescent="0.45">
      <c r="A18" s="11"/>
      <c r="B18" s="11"/>
      <c r="C18" s="11"/>
      <c r="D18" s="11"/>
      <c r="E18" s="11"/>
      <c r="F18" s="11"/>
      <c r="G18" s="11"/>
      <c r="H18" s="11"/>
      <c r="I18" s="11"/>
      <c r="J18" s="11"/>
      <c r="K18" s="11"/>
      <c r="L18" s="11"/>
      <c r="M18" s="11"/>
      <c r="N18" s="11"/>
      <c r="O18" s="11"/>
      <c r="P18" s="11"/>
      <c r="Q18" s="11"/>
      <c r="R18" s="11"/>
      <c r="S18" s="11"/>
      <c r="T18" s="11"/>
      <c r="U18" s="20" t="s">
        <v>18</v>
      </c>
      <c r="V18" s="20"/>
      <c r="W18" s="20"/>
      <c r="X18" s="11"/>
      <c r="Y18" s="11"/>
      <c r="Z18" s="11"/>
    </row>
    <row r="19" spans="1:26" ht="30" customHeight="1" x14ac:dyDescent="0.45">
      <c r="A19" s="17" t="s">
        <v>46</v>
      </c>
      <c r="B19" s="17"/>
      <c r="C19" s="17"/>
      <c r="D19" s="17"/>
      <c r="E19" s="17"/>
      <c r="F19" s="17"/>
      <c r="G19" s="17"/>
      <c r="H19" s="17"/>
      <c r="I19" s="17"/>
      <c r="J19" s="17"/>
      <c r="K19" s="17"/>
      <c r="L19" s="17"/>
      <c r="M19" s="17"/>
      <c r="N19" s="17"/>
      <c r="O19" s="17"/>
      <c r="P19" s="17"/>
      <c r="Q19" s="17"/>
      <c r="R19" s="17"/>
      <c r="S19" s="17"/>
      <c r="T19" s="17"/>
      <c r="U19" s="16">
        <v>15000</v>
      </c>
      <c r="V19" s="16"/>
      <c r="W19" s="16"/>
      <c r="X19" s="11"/>
      <c r="Y19" s="11"/>
      <c r="Z19" s="11"/>
    </row>
    <row r="20" spans="1:26" ht="30" customHeight="1" x14ac:dyDescent="0.45">
      <c r="A20" s="11"/>
      <c r="B20" s="11"/>
      <c r="C20" s="11"/>
      <c r="D20" s="11"/>
      <c r="E20" s="11"/>
      <c r="F20" s="11"/>
      <c r="G20" s="11"/>
      <c r="H20" s="11"/>
      <c r="I20" s="11"/>
      <c r="J20" s="11"/>
      <c r="K20" s="11"/>
      <c r="L20" s="11"/>
      <c r="M20" s="11"/>
      <c r="N20" s="17" t="s">
        <v>53</v>
      </c>
      <c r="O20" s="17"/>
      <c r="P20" s="17"/>
      <c r="Q20" s="17"/>
      <c r="R20" s="17"/>
      <c r="S20" s="17"/>
      <c r="T20" s="17"/>
      <c r="U20" s="16"/>
      <c r="V20" s="16"/>
      <c r="W20" s="16"/>
      <c r="X20" s="11"/>
      <c r="Y20" s="11"/>
      <c r="Z20" s="11"/>
    </row>
    <row r="21" spans="1:26" ht="30" customHeight="1" x14ac:dyDescent="0.45">
      <c r="A21" s="11"/>
      <c r="B21" s="11"/>
      <c r="C21" s="11"/>
      <c r="D21" s="11"/>
      <c r="E21" s="11"/>
      <c r="F21" s="11"/>
      <c r="G21" s="11"/>
      <c r="H21" s="11"/>
      <c r="I21" s="11"/>
      <c r="J21" s="11"/>
      <c r="K21" s="11"/>
      <c r="L21" s="11"/>
      <c r="M21" s="11"/>
      <c r="N21" s="19" t="s">
        <v>54</v>
      </c>
      <c r="O21" s="19"/>
      <c r="P21" s="19"/>
      <c r="Q21" s="19"/>
      <c r="R21" s="19"/>
      <c r="S21" s="19"/>
      <c r="T21" s="19"/>
      <c r="U21" s="20" t="s">
        <v>52</v>
      </c>
      <c r="V21" s="20"/>
      <c r="W21" s="20"/>
      <c r="X21" s="11"/>
      <c r="Y21" s="11"/>
      <c r="Z21" s="11"/>
    </row>
    <row r="22" spans="1:26" ht="30" customHeight="1" x14ac:dyDescent="0.45">
      <c r="A22" s="11"/>
      <c r="B22" s="11"/>
      <c r="C22" s="11"/>
      <c r="D22" s="11"/>
      <c r="E22" s="11"/>
      <c r="F22" s="11"/>
      <c r="G22" s="11"/>
      <c r="H22" s="11"/>
      <c r="I22" s="11"/>
      <c r="J22" s="11"/>
      <c r="K22" s="11"/>
      <c r="L22" s="11"/>
      <c r="M22" s="11"/>
      <c r="N22" s="18" t="s">
        <v>63</v>
      </c>
      <c r="O22" s="18"/>
      <c r="P22" s="18"/>
      <c r="Q22" s="18"/>
      <c r="R22" s="18"/>
      <c r="S22" s="18"/>
      <c r="T22" s="18"/>
      <c r="U22" s="16">
        <v>2500</v>
      </c>
      <c r="V22" s="16"/>
      <c r="W22" s="16"/>
      <c r="X22" s="11"/>
      <c r="Y22" s="11"/>
      <c r="Z22" s="11"/>
    </row>
    <row r="23" spans="1:26" ht="30" customHeight="1" x14ac:dyDescent="0.45">
      <c r="A23" s="11"/>
      <c r="B23" s="11"/>
      <c r="C23" s="11"/>
      <c r="D23" s="11"/>
      <c r="E23" s="11"/>
      <c r="F23" s="11"/>
      <c r="G23" s="11"/>
      <c r="H23" s="11"/>
      <c r="I23" s="11"/>
      <c r="J23" s="11"/>
      <c r="K23" s="11"/>
      <c r="L23" s="11"/>
      <c r="M23" s="11"/>
      <c r="N23" s="18"/>
      <c r="O23" s="18"/>
      <c r="P23" s="18"/>
      <c r="Q23" s="18"/>
      <c r="R23" s="18"/>
      <c r="S23" s="18"/>
      <c r="T23" s="18"/>
      <c r="U23" s="16"/>
      <c r="V23" s="16"/>
      <c r="W23" s="16"/>
      <c r="X23" s="11"/>
      <c r="Y23" s="11"/>
      <c r="Z23" s="11"/>
    </row>
    <row r="24" spans="1:26" ht="30" customHeight="1" x14ac:dyDescent="0.45">
      <c r="A24" s="11"/>
      <c r="B24" s="11"/>
      <c r="C24" s="11"/>
      <c r="D24" s="11"/>
      <c r="E24" s="11"/>
      <c r="F24" s="11"/>
      <c r="G24" s="11"/>
      <c r="H24" s="11"/>
      <c r="I24" s="11"/>
      <c r="J24" s="11"/>
      <c r="K24" s="11"/>
      <c r="L24" s="11"/>
      <c r="M24" s="11"/>
      <c r="N24" s="18"/>
      <c r="O24" s="18"/>
      <c r="P24" s="18"/>
      <c r="Q24" s="18"/>
      <c r="R24" s="18"/>
      <c r="S24" s="18"/>
      <c r="T24" s="18"/>
      <c r="U24" s="21" t="s">
        <v>51</v>
      </c>
      <c r="V24" s="21"/>
      <c r="W24" s="21"/>
      <c r="X24" s="11"/>
      <c r="Y24" s="11"/>
      <c r="Z24" s="11"/>
    </row>
    <row r="25" spans="1:26" ht="30" customHeight="1" x14ac:dyDescent="0.45">
      <c r="A25" s="11"/>
      <c r="B25" s="11"/>
      <c r="C25" s="11"/>
      <c r="D25" s="11"/>
      <c r="E25" s="11"/>
      <c r="F25" s="11"/>
      <c r="G25" s="11"/>
      <c r="H25" s="11"/>
      <c r="I25" s="11"/>
      <c r="J25" s="11"/>
      <c r="K25" s="11"/>
      <c r="L25" s="11"/>
      <c r="M25" s="11"/>
      <c r="N25" s="19" t="s">
        <v>55</v>
      </c>
      <c r="O25" s="19"/>
      <c r="P25" s="19"/>
      <c r="Q25" s="19"/>
      <c r="R25" s="19"/>
      <c r="S25" s="19"/>
      <c r="T25" s="19"/>
      <c r="U25" s="16">
        <v>1250</v>
      </c>
      <c r="V25" s="16"/>
      <c r="W25" s="16"/>
      <c r="X25" s="11"/>
      <c r="Y25" s="11"/>
      <c r="Z25" s="11"/>
    </row>
    <row r="26" spans="1:26" ht="30" customHeight="1" x14ac:dyDescent="0.45">
      <c r="A26" s="11"/>
      <c r="B26" s="11"/>
      <c r="C26" s="11"/>
      <c r="D26" s="11"/>
      <c r="E26" s="11"/>
      <c r="F26" s="11"/>
      <c r="G26" s="11"/>
      <c r="H26" s="11"/>
      <c r="I26" s="11"/>
      <c r="J26" s="11"/>
      <c r="K26" s="11"/>
      <c r="L26" s="11"/>
      <c r="M26" s="11"/>
      <c r="N26" s="18" t="s">
        <v>64</v>
      </c>
      <c r="O26" s="18"/>
      <c r="P26" s="18"/>
      <c r="Q26" s="18"/>
      <c r="R26" s="18"/>
      <c r="S26" s="18"/>
      <c r="T26" s="18"/>
      <c r="U26" s="16"/>
      <c r="V26" s="16"/>
      <c r="W26" s="16"/>
      <c r="X26" s="11"/>
      <c r="Y26" s="11"/>
      <c r="Z26" s="11"/>
    </row>
    <row r="27" spans="1:26" ht="30" customHeight="1" x14ac:dyDescent="0.45">
      <c r="A27" s="11"/>
      <c r="B27" s="11"/>
      <c r="C27" s="11"/>
      <c r="D27" s="11"/>
      <c r="E27" s="11"/>
      <c r="F27" s="11"/>
      <c r="G27" s="11"/>
      <c r="H27" s="11"/>
      <c r="I27" s="11"/>
      <c r="J27" s="11"/>
      <c r="K27" s="11"/>
      <c r="L27" s="11"/>
      <c r="M27" s="11"/>
      <c r="N27" s="18"/>
      <c r="O27" s="18"/>
      <c r="P27" s="18"/>
      <c r="Q27" s="18"/>
      <c r="R27" s="18"/>
      <c r="S27" s="18"/>
      <c r="T27" s="18"/>
      <c r="U27" s="20" t="s">
        <v>9</v>
      </c>
      <c r="V27" s="20"/>
      <c r="W27" s="20"/>
      <c r="X27" s="11"/>
      <c r="Y27" s="11"/>
      <c r="Z27" s="11"/>
    </row>
    <row r="28" spans="1:26" ht="30" customHeight="1" x14ac:dyDescent="0.45">
      <c r="A28" s="11"/>
      <c r="B28" s="11"/>
      <c r="C28" s="11"/>
      <c r="D28" s="11"/>
      <c r="E28" s="11"/>
      <c r="F28" s="11"/>
      <c r="G28" s="11"/>
      <c r="H28" s="11"/>
      <c r="I28" s="11"/>
      <c r="J28" s="11"/>
      <c r="K28" s="11"/>
      <c r="L28" s="11"/>
      <c r="M28" s="11"/>
      <c r="N28" s="18"/>
      <c r="O28" s="18"/>
      <c r="P28" s="18"/>
      <c r="Q28" s="18"/>
      <c r="R28" s="18"/>
      <c r="S28" s="18"/>
      <c r="T28" s="18"/>
      <c r="U28" s="16">
        <v>4250</v>
      </c>
      <c r="V28" s="16"/>
      <c r="W28" s="16"/>
      <c r="X28" s="11"/>
      <c r="Y28" s="11"/>
      <c r="Z28" s="11"/>
    </row>
    <row r="29" spans="1:26" ht="30" customHeight="1" x14ac:dyDescent="0.45">
      <c r="A29" s="11"/>
      <c r="B29" s="11"/>
      <c r="C29" s="11"/>
      <c r="D29" s="11"/>
      <c r="E29" s="11"/>
      <c r="F29" s="11"/>
      <c r="G29" s="11"/>
      <c r="H29" s="11"/>
      <c r="I29" s="11"/>
      <c r="J29" s="11"/>
      <c r="K29" s="11"/>
      <c r="L29" s="11"/>
      <c r="M29" s="11"/>
      <c r="N29" s="19" t="s">
        <v>56</v>
      </c>
      <c r="O29" s="19"/>
      <c r="P29" s="19"/>
      <c r="Q29" s="19"/>
      <c r="R29" s="19"/>
      <c r="S29" s="19"/>
      <c r="T29" s="19"/>
      <c r="U29" s="16"/>
      <c r="V29" s="16"/>
      <c r="W29" s="16"/>
      <c r="X29" s="11"/>
      <c r="Y29" s="11"/>
      <c r="Z29" s="11"/>
    </row>
    <row r="30" spans="1:26" ht="30" customHeight="1" x14ac:dyDescent="0.45">
      <c r="A30" s="11"/>
      <c r="B30" s="11"/>
      <c r="C30" s="11"/>
      <c r="D30" s="11"/>
      <c r="E30" s="11"/>
      <c r="F30" s="11"/>
      <c r="G30" s="11"/>
      <c r="H30" s="11"/>
      <c r="I30" s="11"/>
      <c r="J30" s="11"/>
      <c r="K30" s="11"/>
      <c r="L30" s="11"/>
      <c r="M30" s="11"/>
      <c r="N30" s="18" t="s">
        <v>65</v>
      </c>
      <c r="O30" s="18"/>
      <c r="P30" s="18"/>
      <c r="Q30" s="18"/>
      <c r="R30" s="18"/>
      <c r="S30" s="18"/>
      <c r="T30" s="18"/>
      <c r="U30" s="20" t="s">
        <v>36</v>
      </c>
      <c r="V30" s="20"/>
      <c r="W30" s="20"/>
      <c r="X30" s="11"/>
      <c r="Y30" s="11"/>
      <c r="Z30" s="11"/>
    </row>
    <row r="31" spans="1:26" ht="30" customHeight="1" x14ac:dyDescent="0.45">
      <c r="A31" s="11"/>
      <c r="B31" s="11"/>
      <c r="C31" s="11"/>
      <c r="D31" s="11"/>
      <c r="E31" s="11"/>
      <c r="F31" s="11"/>
      <c r="G31" s="11"/>
      <c r="H31" s="11"/>
      <c r="I31" s="11"/>
      <c r="J31" s="11"/>
      <c r="K31" s="11"/>
      <c r="L31" s="11"/>
      <c r="M31" s="11"/>
      <c r="N31" s="18"/>
      <c r="O31" s="18"/>
      <c r="P31" s="18"/>
      <c r="Q31" s="18"/>
      <c r="R31" s="18"/>
      <c r="S31" s="18"/>
      <c r="T31" s="18"/>
      <c r="U31" s="16">
        <v>2450</v>
      </c>
      <c r="V31" s="16"/>
      <c r="W31" s="16"/>
      <c r="X31" s="11"/>
      <c r="Y31" s="11"/>
      <c r="Z31" s="11"/>
    </row>
    <row r="32" spans="1:26" ht="30" customHeight="1" x14ac:dyDescent="0.45">
      <c r="A32" s="11"/>
      <c r="B32" s="11"/>
      <c r="C32" s="11"/>
      <c r="D32" s="11"/>
      <c r="E32" s="11"/>
      <c r="F32" s="11"/>
      <c r="G32" s="11"/>
      <c r="H32" s="11"/>
      <c r="I32" s="11"/>
      <c r="J32" s="11"/>
      <c r="K32" s="11"/>
      <c r="L32" s="11"/>
      <c r="M32" s="11"/>
      <c r="N32" s="18"/>
      <c r="O32" s="18"/>
      <c r="P32" s="18"/>
      <c r="Q32" s="18"/>
      <c r="R32" s="18"/>
      <c r="S32" s="18"/>
      <c r="T32" s="18"/>
      <c r="U32" s="16"/>
      <c r="V32" s="16"/>
      <c r="W32" s="16"/>
      <c r="X32" s="11"/>
      <c r="Y32" s="11"/>
      <c r="Z32" s="11"/>
    </row>
    <row r="33" spans="1:26" ht="30" customHeight="1" x14ac:dyDescent="0.45">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row>
    <row r="34" spans="1:26" ht="30" customHeight="1" x14ac:dyDescent="0.45">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row>
    <row r="35" spans="1:26" ht="30" customHeight="1" x14ac:dyDescent="0.45">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row>
    <row r="36" spans="1:26" ht="30" customHeight="1" x14ac:dyDescent="0.45">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row>
    <row r="37" spans="1:26" ht="30" customHeight="1" x14ac:dyDescent="0.45">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row>
    <row r="38" spans="1:26" ht="30" customHeight="1" x14ac:dyDescent="0.45">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ht="30" customHeight="1" x14ac:dyDescent="0.45">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row>
    <row r="40" spans="1:26" ht="30" customHeight="1" x14ac:dyDescent="0.45">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row>
    <row r="41" spans="1:26" ht="30" customHeight="1" x14ac:dyDescent="0.45">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ht="30" customHeight="1" x14ac:dyDescent="0.45">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row>
    <row r="43" spans="1:26" ht="30" customHeight="1" x14ac:dyDescent="0.45">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row>
    <row r="44" spans="1:26" ht="30" customHeight="1" x14ac:dyDescent="0.45">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ht="30" customHeight="1" x14ac:dyDescent="0.45">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row>
  </sheetData>
  <mergeCells count="31">
    <mergeCell ref="A1:Z1"/>
    <mergeCell ref="X2:Z2"/>
    <mergeCell ref="U2:W2"/>
    <mergeCell ref="A19:T19"/>
    <mergeCell ref="U3:W3"/>
    <mergeCell ref="U6:W6"/>
    <mergeCell ref="U9:W9"/>
    <mergeCell ref="U12:W12"/>
    <mergeCell ref="U15:W15"/>
    <mergeCell ref="U18:W18"/>
    <mergeCell ref="U4:W5"/>
    <mergeCell ref="U7:W8"/>
    <mergeCell ref="U10:W11"/>
    <mergeCell ref="U16:W17"/>
    <mergeCell ref="U19:W20"/>
    <mergeCell ref="U31:W32"/>
    <mergeCell ref="U13:W14"/>
    <mergeCell ref="U22:W23"/>
    <mergeCell ref="N20:T20"/>
    <mergeCell ref="N22:T24"/>
    <mergeCell ref="N26:T28"/>
    <mergeCell ref="N30:T32"/>
    <mergeCell ref="N21:T21"/>
    <mergeCell ref="N25:T25"/>
    <mergeCell ref="N29:T29"/>
    <mergeCell ref="U21:W21"/>
    <mergeCell ref="U24:W24"/>
    <mergeCell ref="U27:W27"/>
    <mergeCell ref="U30:W30"/>
    <mergeCell ref="U25:W26"/>
    <mergeCell ref="U28:W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OpenUserForm2">
                <anchor moveWithCells="1" sizeWithCells="1">
                  <from>
                    <xdr:col>23</xdr:col>
                    <xdr:colOff>204788</xdr:colOff>
                    <xdr:row>2</xdr:row>
                    <xdr:rowOff>342900</xdr:rowOff>
                  </from>
                  <to>
                    <xdr:col>25</xdr:col>
                    <xdr:colOff>433388</xdr:colOff>
                    <xdr:row>6</xdr:row>
                    <xdr:rowOff>238125</xdr:rowOff>
                  </to>
                </anchor>
              </controlPr>
            </control>
          </mc:Choice>
        </mc:AlternateContent>
        <mc:AlternateContent xmlns:mc="http://schemas.openxmlformats.org/markup-compatibility/2006">
          <mc:Choice Requires="x14">
            <control shapeId="20482" r:id="rId5" name="Button 2">
              <controlPr defaultSize="0" print="0" autoFill="0" autoPict="0" macro="[0]!UpdateValues">
                <anchor moveWithCells="1" sizeWithCells="1">
                  <from>
                    <xdr:col>23</xdr:col>
                    <xdr:colOff>195263</xdr:colOff>
                    <xdr:row>7</xdr:row>
                    <xdr:rowOff>152400</xdr:rowOff>
                  </from>
                  <to>
                    <xdr:col>25</xdr:col>
                    <xdr:colOff>438150</xdr:colOff>
                    <xdr:row>11</xdr:row>
                    <xdr:rowOff>38100</xdr:rowOff>
                  </to>
                </anchor>
              </controlPr>
            </control>
          </mc:Choice>
        </mc:AlternateContent>
        <mc:AlternateContent xmlns:mc="http://schemas.openxmlformats.org/markup-compatibility/2006">
          <mc:Choice Requires="x14">
            <control shapeId="20488" r:id="rId6" name="Button 8">
              <controlPr defaultSize="0" print="0" autoFill="0" autoPict="0" macro="[0]!GenerateExpenseDonutChart">
                <anchor moveWithCells="1" sizeWithCells="1">
                  <from>
                    <xdr:col>23</xdr:col>
                    <xdr:colOff>209550</xdr:colOff>
                    <xdr:row>35</xdr:row>
                    <xdr:rowOff>242888</xdr:rowOff>
                  </from>
                  <to>
                    <xdr:col>25</xdr:col>
                    <xdr:colOff>500063</xdr:colOff>
                    <xdr:row>39</xdr:row>
                    <xdr:rowOff>190500</xdr:rowOff>
                  </to>
                </anchor>
              </controlPr>
            </control>
          </mc:Choice>
        </mc:AlternateContent>
        <mc:AlternateContent xmlns:mc="http://schemas.openxmlformats.org/markup-compatibility/2006">
          <mc:Choice Requires="x14">
            <control shapeId="20489" r:id="rId7" name="Button 9">
              <controlPr defaultSize="0" print="0" autoFill="0" autoPict="0" macro="[0]!GenerateGoalProgressDonutChart">
                <anchor moveWithCells="1" sizeWithCells="1">
                  <from>
                    <xdr:col>23</xdr:col>
                    <xdr:colOff>209550</xdr:colOff>
                    <xdr:row>40</xdr:row>
                    <xdr:rowOff>38100</xdr:rowOff>
                  </from>
                  <to>
                    <xdr:col>25</xdr:col>
                    <xdr:colOff>514350</xdr:colOff>
                    <xdr:row>43</xdr:row>
                    <xdr:rowOff>381000</xdr:rowOff>
                  </to>
                </anchor>
              </controlPr>
            </control>
          </mc:Choice>
        </mc:AlternateContent>
        <mc:AlternateContent xmlns:mc="http://schemas.openxmlformats.org/markup-compatibility/2006">
          <mc:Choice Requires="x14">
            <control shapeId="20490" r:id="rId8" name="Button 10">
              <controlPr defaultSize="0" print="0" autoFill="0" autoPict="0" macro="[0]!TrackDebtRepayment">
                <anchor moveWithCells="1" sizeWithCells="1">
                  <from>
                    <xdr:col>23</xdr:col>
                    <xdr:colOff>195263</xdr:colOff>
                    <xdr:row>11</xdr:row>
                    <xdr:rowOff>285750</xdr:rowOff>
                  </from>
                  <to>
                    <xdr:col>25</xdr:col>
                    <xdr:colOff>471488</xdr:colOff>
                    <xdr:row>15</xdr:row>
                    <xdr:rowOff>252413</xdr:rowOff>
                  </to>
                </anchor>
              </controlPr>
            </control>
          </mc:Choice>
        </mc:AlternateContent>
        <mc:AlternateContent xmlns:mc="http://schemas.openxmlformats.org/markup-compatibility/2006">
          <mc:Choice Requires="x14">
            <control shapeId="20491" r:id="rId9" name="Button 11">
              <controlPr defaultSize="0" print="0" autoFill="0" autoPict="0" macro="[0]!GenerateDonutChart">
                <anchor moveWithCells="1" sizeWithCells="1">
                  <from>
                    <xdr:col>23</xdr:col>
                    <xdr:colOff>209550</xdr:colOff>
                    <xdr:row>31</xdr:row>
                    <xdr:rowOff>23813</xdr:rowOff>
                  </from>
                  <to>
                    <xdr:col>25</xdr:col>
                    <xdr:colOff>500063</xdr:colOff>
                    <xdr:row>34</xdr:row>
                    <xdr:rowOff>357188</xdr:rowOff>
                  </to>
                </anchor>
              </controlPr>
            </control>
          </mc:Choice>
        </mc:AlternateContent>
        <mc:AlternateContent xmlns:mc="http://schemas.openxmlformats.org/markup-compatibility/2006">
          <mc:Choice Requires="x14">
            <control shapeId="20492" r:id="rId10" name="Button 12">
              <controlPr defaultSize="0" print="0" autoFill="0" autoPict="0" macro="[0]!Inputform2">
                <anchor moveWithCells="1" sizeWithCells="1">
                  <from>
                    <xdr:col>23</xdr:col>
                    <xdr:colOff>219075</xdr:colOff>
                    <xdr:row>25</xdr:row>
                    <xdr:rowOff>228600</xdr:rowOff>
                  </from>
                  <to>
                    <xdr:col>25</xdr:col>
                    <xdr:colOff>447675</xdr:colOff>
                    <xdr:row>29</xdr:row>
                    <xdr:rowOff>123825</xdr:rowOff>
                  </to>
                </anchor>
              </controlPr>
            </control>
          </mc:Choice>
        </mc:AlternateContent>
        <mc:AlternateContent xmlns:mc="http://schemas.openxmlformats.org/markup-compatibility/2006">
          <mc:Choice Requires="x14">
            <control shapeId="20493" r:id="rId11" name="Button 13">
              <controlPr defaultSize="0" print="0" autoFill="0" autoPict="0" macro="[0]!Inputform1">
                <anchor moveWithCells="1" sizeWithCells="1">
                  <from>
                    <xdr:col>23</xdr:col>
                    <xdr:colOff>214313</xdr:colOff>
                    <xdr:row>21</xdr:row>
                    <xdr:rowOff>114300</xdr:rowOff>
                  </from>
                  <to>
                    <xdr:col>25</xdr:col>
                    <xdr:colOff>442913</xdr:colOff>
                    <xdr:row>25</xdr:row>
                    <xdr:rowOff>9525</xdr:rowOff>
                  </to>
                </anchor>
              </controlPr>
            </control>
          </mc:Choice>
        </mc:AlternateContent>
        <mc:AlternateContent xmlns:mc="http://schemas.openxmlformats.org/markup-compatibility/2006">
          <mc:Choice Requires="x14">
            <control shapeId="20494" r:id="rId12" name="Button 14">
              <controlPr defaultSize="0" print="0" autoFill="0" autoPict="0" macro="[0]!OpenUserForm">
                <anchor moveWithCells="1" sizeWithCells="1">
                  <from>
                    <xdr:col>23</xdr:col>
                    <xdr:colOff>214313</xdr:colOff>
                    <xdr:row>16</xdr:row>
                    <xdr:rowOff>200025</xdr:rowOff>
                  </from>
                  <to>
                    <xdr:col>25</xdr:col>
                    <xdr:colOff>438150</xdr:colOff>
                    <xdr:row>20</xdr:row>
                    <xdr:rowOff>95250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VLOOK UP VALUES</vt:lpstr>
      <vt:lpstr>Goals</vt:lpstr>
      <vt:lpstr>MonthlyInput1</vt:lpstr>
      <vt:lpstr>MonthlyInput2</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Dhanvi Pandya</dc:creator>
  <cp:lastModifiedBy>Dhanvi Pandya</cp:lastModifiedBy>
  <dcterms:created xsi:type="dcterms:W3CDTF">2024-11-06T04:54:04Z</dcterms:created>
  <dcterms:modified xsi:type="dcterms:W3CDTF">2024-12-02T05:53:45Z</dcterms:modified>
</cp:coreProperties>
</file>